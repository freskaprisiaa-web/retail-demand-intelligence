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569b3fde4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8dd4dba4f554c03"/>
    <x:sheet xmlns:r="http://schemas.openxmlformats.org/officeDocument/2006/relationships" name="Monthly Report" sheetId="2" r:id="Rc6d8302298844ade"/>
    <x:sheet xmlns:r="http://schemas.openxmlformats.org/officeDocument/2006/relationships" name="Quarterly Report" sheetId="3" r:id="R86354681dfc84e77"/>
    <x:sheet xmlns:r="http://schemas.openxmlformats.org/officeDocument/2006/relationships" name="Annual Report" sheetId="4" r:id="Rc8ecf47a01554264"/>
    <x:sheet xmlns:r="http://schemas.openxmlformats.org/officeDocument/2006/relationships" name="Branch Scorecard" sheetId="5" r:id="R09d658d91d114ea8"/>
    <x:sheet xmlns:r="http://schemas.openxmlformats.org/officeDocument/2006/relationships" name="Forecast Monitoring" sheetId="6" r:id="Rd896bcae2f024bc4"/>
    <x:sheet xmlns:r="http://schemas.openxmlformats.org/officeDocument/2006/relationships" name="Action Register" sheetId="7" r:id="R4ec6ebec7bc244a1"/>
    <x:sheet xmlns:r="http://schemas.openxmlformats.org/officeDocument/2006/relationships" name="Model Summary" sheetId="8" r:id="Re87b6d30f03944fa"/>
    <x:sheet xmlns:r="http://schemas.openxmlformats.org/officeDocument/2006/relationships" name="Data Dictionary" sheetId="9" r:id="R23f1a66ce3e14839"/>
    <x:sheet xmlns:r="http://schemas.openxmlformats.org/officeDocument/2006/relationships" name="Driver Diagnostics" sheetId="10" r:id="Rd37f66642d55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0"/>
    <x:numFmt numFmtId="203" formatCode="mmm yyyy"/>
    <x:numFmt numFmtId="204" formatCode="yyyy-mm-dd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5324A"/>
      <x:name val="Carlito"/>
    </x:font>
    <x:font>
      <x:b/>
      <x:sz val="11"/>
      <x:color rgb="FF5D6B78"/>
      <x:name val="Carlito"/>
    </x:font>
    <x:font>
      <x:b/>
      <x:sz val="18"/>
      <x:color rgb="FF15324A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0"/>
      <x:color rgb="FFFFFFFF"/>
      <x:name val="Aptos"/>
    </x:font>
    <x:font>
      <x:i/>
      <x:sz val="10"/>
      <x:color rgb="FF15324A"/>
      <x:name val="Aptos"/>
    </x:font>
    <x:font>
      <x:sz val="10"/>
      <x:name val="Aptos"/>
    </x:font>
    <x:font>
      <x:b/>
      <x:sz val="10"/>
      <x:color rgb="FF5D6B78"/>
      <x:name val="Aptos"/>
    </x:font>
    <x:font>
      <x:b/>
      <x:sz val="10"/>
      <x:color rgb="FF15324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DCE8F1"/>
      </x:patternFill>
    </x:fill>
    <x:fill>
      <x:patternFill patternType="solid">
        <x:fgColor rgb="FFEAF0F6"/>
      </x:patternFill>
    </x:fill>
    <x:fill>
      <x:patternFill patternType="solid">
        <x:fgColor rgb="FF1D8A8A"/>
      </x:patternFill>
    </x:fill>
  </x:fills>
  <x:borders count="21">
    <x:border/>
    <x:border>
      <x:left style="thin">
        <x:color rgb="FFB7C5D1"/>
      </x:left>
      <x:top style="thin">
        <x:color rgb="FFB7C5D1"/>
      </x:top>
    </x:border>
    <x:border>
      <x:top style="thin">
        <x:color rgb="FFB7C5D1"/>
      </x:top>
    </x:border>
    <x:border>
      <x:right style="thin">
        <x:color rgb="FFB7C5D1"/>
      </x:right>
      <x:top style="thin">
        <x:color rgb="FFB7C5D1"/>
      </x:top>
    </x:border>
    <x:border>
      <x:left style="thin">
        <x:color rgb="FFB7C5D1"/>
      </x:left>
    </x:border>
    <x:border>
      <x:right style="thin">
        <x:color rgb="FFB7C5D1"/>
      </x:right>
    </x:border>
    <x:border>
      <x:left style="thin">
        <x:color rgb="FFB7C5D1"/>
      </x:left>
      <x:bottom style="thin">
        <x:color rgb="FFB7C5D1"/>
      </x:bottom>
    </x:border>
    <x:border>
      <x:bottom style="thin">
        <x:color rgb="FFB7C5D1"/>
      </x:bottom>
    </x:border>
    <x:border>
      <x:right style="thin">
        <x:color rgb="FFB7C5D1"/>
      </x:right>
      <x:bottom style="thin">
        <x:color rgb="FFB7C5D1"/>
      </x:bottom>
    </x:border>
    <x:border>
      <x:left style="thin">
        <x:color rgb="FFB7C5D1"/>
      </x:left>
      <x:top style="thin">
        <x:color rgb="FFB7C5D1"/>
      </x:top>
      <x:bottom style="thin">
        <x:color rgb="FFB7C5D1"/>
      </x:bottom>
    </x:border>
    <x:border>
      <x:top style="thin">
        <x:color rgb="FFB7C5D1"/>
      </x:top>
      <x:bottom style="thin">
        <x:color rgb="FFB7C5D1"/>
      </x:bottom>
    </x:border>
    <x:border>
      <x:right style="thin">
        <x:color rgb="FFB7C5D1"/>
      </x:right>
      <x:top style="thin">
        <x:color rgb="FFB7C5D1"/>
      </x:top>
      <x:bottom style="thin">
        <x:color rgb="FFB7C5D1"/>
      </x:bottom>
    </x:border>
    <x:border>
      <x:left style="thin">
        <x:color rgb="FFB7C5D1"/>
      </x:left>
      <x:right style="thin">
        <x:color rgb="FFE2E8EE"/>
      </x:right>
      <x:top style="thin">
        <x:color rgb="FFB7C5D1"/>
      </x:top>
      <x:bottom style="thin">
        <x:color rgb="FFE2E8EE"/>
      </x:bottom>
    </x:border>
    <x:border>
      <x:left style="thin">
        <x:color rgb="FFE2E8EE"/>
      </x:left>
      <x:right style="thin">
        <x:color rgb="FFE2E8EE"/>
      </x:right>
      <x:top style="thin">
        <x:color rgb="FFB7C5D1"/>
      </x:top>
      <x:bottom style="thin">
        <x:color rgb="FFE2E8EE"/>
      </x:bottom>
    </x:border>
    <x:border>
      <x:left style="thin">
        <x:color rgb="FFE2E8EE"/>
      </x:left>
      <x:top style="thin">
        <x:color rgb="FFB7C5D1"/>
      </x:top>
      <x:bottom style="thin">
        <x:color rgb="FFE2E8EE"/>
      </x:bottom>
    </x:border>
    <x:border>
      <x:left style="thin">
        <x:color rgb="FFB7C5D1"/>
      </x:left>
      <x:right style="thin">
        <x:color rgb="FFE2E8EE"/>
      </x:right>
      <x:top style="thin">
        <x:color rgb="FFE2E8EE"/>
      </x:top>
      <x:bottom style="thin">
        <x:color rgb="FFE2E8EE"/>
      </x:bottom>
    </x:border>
    <x:border>
      <x:left style="thin">
        <x:color rgb="FFE2E8EE"/>
      </x:left>
      <x:right style="thin">
        <x:color rgb="FFE2E8EE"/>
      </x:right>
      <x:top style="thin">
        <x:color rgb="FFE2E8EE"/>
      </x:top>
      <x:bottom style="thin">
        <x:color rgb="FFE2E8EE"/>
      </x:bottom>
    </x:border>
    <x:border>
      <x:left style="thin">
        <x:color rgb="FFE2E8EE"/>
      </x:left>
      <x:top style="thin">
        <x:color rgb="FFE2E8EE"/>
      </x:top>
      <x:bottom style="thin">
        <x:color rgb="FFE2E8EE"/>
      </x:bottom>
    </x:border>
    <x:border>
      <x:left style="thin">
        <x:color rgb="FFB7C5D1"/>
      </x:left>
      <x:right style="thin">
        <x:color rgb="FFE2E8EE"/>
      </x:right>
      <x:top style="thin">
        <x:color rgb="FFE2E8EE"/>
      </x:top>
      <x:bottom style="thin">
        <x:color rgb="FFB7C5D1"/>
      </x:bottom>
    </x:border>
    <x:border>
      <x:left style="thin">
        <x:color rgb="FFE2E8EE"/>
      </x:left>
      <x:right style="thin">
        <x:color rgb="FFE2E8EE"/>
      </x:right>
      <x:top style="thin">
        <x:color rgb="FFE2E8EE"/>
      </x:top>
      <x:bottom style="thin">
        <x:color rgb="FFB7C5D1"/>
      </x:bottom>
    </x:border>
    <x:border>
      <x:left style="thin">
        <x:color rgb="FFE2E8EE"/>
      </x:left>
      <x:top style="thin">
        <x:color rgb="FFE2E8EE"/>
      </x:top>
      <x:bottom style="thin">
        <x:color rgb="FFB7C5D1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200" fontId="4" fillId="4" borderId="4" xfId="0" applyNumberFormat="1" applyFont="1" applyFill="1" applyBorder="1"/>
    <x:xf numFmtId="201" fontId="4" fillId="4" borderId="4" xfId="0" applyNumberFormat="1" applyFont="1" applyFill="1" applyBorder="1"/>
    <x:xf numFmtId="202" fontId="4" fillId="4" borderId="4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203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/>
    <x:xf numFmtId="203" fontId="0" fillId="0" borderId="18" xfId="0" applyNumberFormat="1" applyFont="1" applyFill="1" applyBorder="1"/>
    <x:xf numFmtId="200" fontId="0" fillId="0" borderId="19" xfId="0" applyNumberFormat="1" applyFont="1" applyFill="1" applyBorder="1"/>
    <x:xf numFmtId="201" fontId="0" fillId="0" borderId="19" xfId="0" applyNumberFormat="1" applyFont="1" applyFill="1" applyBorder="1"/>
    <x:xf numFmtId="0" fontId="0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" xfId="0" applyNumberFormat="1" applyFont="1" applyFill="1" applyBorder="1"/>
    <x:xf numFmtId="0" fontId="10" fillId="4" borderId="3" xfId="0" applyNumberFormat="1" applyFont="1" applyFill="1" applyBorder="1"/>
    <x:xf numFmtId="200" fontId="11" fillId="4" borderId="4" xfId="0" applyNumberFormat="1" applyFont="1" applyFill="1" applyBorder="1"/>
    <x:xf numFmtId="0" fontId="11" fillId="4" borderId="0" xfId="0" applyNumberFormat="1" applyFont="1" applyFill="1" applyBorder="1"/>
    <x:xf numFmtId="0" fontId="11" fillId="4" borderId="5" xfId="0" applyNumberFormat="1" applyFont="1" applyFill="1" applyBorder="1"/>
    <x:xf numFmtId="201" fontId="11" fillId="4" borderId="4" xfId="0" applyNumberFormat="1" applyFont="1" applyFill="1" applyBorder="1"/>
    <x:xf numFmtId="202" fontId="11" fillId="4" borderId="4" xfId="0" applyNumberFormat="1" applyFont="1" applyFill="1" applyBorder="1"/>
    <x:xf numFmtId="0" fontId="11" fillId="4" borderId="6" xfId="0" applyNumberFormat="1" applyFont="1" applyFill="1" applyBorder="1"/>
    <x:xf numFmtId="0" fontId="11" fillId="4" borderId="7" xfId="0" applyNumberFormat="1" applyFont="1" applyFill="1" applyBorder="1"/>
    <x:xf numFmtId="0" fontId="11" fillId="4" borderId="8" xfId="0" applyNumberFormat="1" applyFont="1" applyFill="1" applyBorder="1"/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203" fontId="9" fillId="0" borderId="15" xfId="0" applyNumberFormat="1" applyFont="1" applyFill="1" applyBorder="1"/>
    <x:xf numFmtId="200" fontId="9" fillId="0" borderId="16" xfId="0" applyNumberFormat="1" applyFont="1" applyFill="1" applyBorder="1"/>
    <x:xf numFmtId="201" fontId="9" fillId="0" borderId="16" xfId="0" applyNumberFormat="1" applyFont="1" applyFill="1" applyBorder="1"/>
    <x:xf numFmtId="0" fontId="9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7" xfId="0" applyNumberFormat="1" applyFont="1" applyFill="1" applyBorder="1"/>
    <x:xf numFmtId="203" fontId="9" fillId="0" borderId="18" xfId="0" applyNumberFormat="1" applyFont="1" applyFill="1" applyBorder="1"/>
    <x:xf numFmtId="200" fontId="9" fillId="0" borderId="19" xfId="0" applyNumberFormat="1" applyFont="1" applyFill="1" applyBorder="1"/>
    <x:xf numFmtId="201" fontId="9" fillId="0" borderId="19" xfId="0" applyNumberFormat="1" applyFont="1" applyFill="1" applyBorder="1"/>
    <x:xf numFmtId="0" fontId="9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20" xfId="0" applyNumberFormat="1" applyFont="1" applyFill="1" applyBorder="1"/>
    <x:xf numFmtId="201" fontId="9" fillId="0" borderId="0" xfId="0" applyNumberFormat="1" applyFont="1" applyFill="1" applyBorder="1"/>
    <x:xf numFmtId="204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C84630"/>
      </x:font>
      <x:fill>
        <x:patternFill patternType="solid">
          <x:bgColor rgb="FFF8CBC3"/>
        </x:patternFill>
      </x:fill>
    </x:dxf>
    <x:dxf>
      <x:font>
        <x:b/>
        <x:color rgb="FF2E6B36"/>
      </x:font>
      <x:fill>
        <x:patternFill patternType="solid">
          <x:bgColor rgb="FFC6E0B4"/>
        </x:patternFill>
      </x:fill>
    </x:dxf>
    <x:dxf>
      <x:font>
        <x:b/>
        <x:color rgb="FFC84630"/>
      </x:font>
      <x:fill>
        <x:patternFill patternType="solid">
          <x:bgColor rgb="FFF8CBC3"/>
        </x:patternFill>
      </x:fill>
    </x:dxf>
    <x:dxf>
      <x:font>
        <x:b/>
        <x:color rgb="FF2E6B36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25c58ba2a4d9b" /><Relationship Type="http://schemas.openxmlformats.org/officeDocument/2006/relationships/theme" Target="/xl/theme/theme1.xml" Id="R8b210d9ade1e494e" /><Relationship Type="http://schemas.microsoft.com/office/2022/11/relationships/FeaturePropertyBag" Target="/xl/featurePropertyBag/featurePropertyBag.xml" Id="R82acda9692a14295" /><Relationship Type="http://schemas.openxmlformats.org/officeDocument/2006/relationships/sharedStrings" Target="/xl/sharedStrings.xml" Id="Rc58906c352da45bd" /><Relationship Type="http://schemas.openxmlformats.org/officeDocument/2006/relationships/worksheet" Target="/xl/worksheets/sheet1.xml" Id="R28dd4dba4f554c03" /><Relationship Type="http://schemas.openxmlformats.org/officeDocument/2006/relationships/worksheet" Target="/xl/worksheets/sheet2.xml" Id="Rc6d8302298844ade" /><Relationship Type="http://schemas.openxmlformats.org/officeDocument/2006/relationships/worksheet" Target="/xl/worksheets/sheet3.xml" Id="R86354681dfc84e77" /><Relationship Type="http://schemas.openxmlformats.org/officeDocument/2006/relationships/worksheet" Target="/xl/worksheets/sheet4.xml" Id="Rc8ecf47a01554264" /><Relationship Type="http://schemas.openxmlformats.org/officeDocument/2006/relationships/worksheet" Target="/xl/worksheets/sheet5.xml" Id="R09d658d91d114ea8" /><Relationship Type="http://schemas.openxmlformats.org/officeDocument/2006/relationships/worksheet" Target="/xl/worksheets/sheet6.xml" Id="Rd896bcae2f024bc4" /><Relationship Type="http://schemas.openxmlformats.org/officeDocument/2006/relationships/worksheet" Target="/xl/worksheets/sheet7.xml" Id="R4ec6ebec7bc244a1" /><Relationship Type="http://schemas.openxmlformats.org/officeDocument/2006/relationships/worksheet" Target="/xl/worksheets/sheet8.xml" Id="Re87b6d30f03944fa" /><Relationship Type="http://schemas.openxmlformats.org/officeDocument/2006/relationships/worksheet" Target="/xl/worksheets/sheet9.xml" Id="R23f1a66ce3e14839" /><Relationship Type="http://schemas.openxmlformats.org/officeDocument/2006/relationships/worksheet" Target="/xl/worksheets/sheet10.xml" Id="Rd37f66642d554a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463fac4f684c6e" /><Relationship Type="http://schemas.openxmlformats.org/officeDocument/2006/relationships/chart" Target="/xl/drawings/charts/chart2.xml" Id="Rea3f8436f85040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unit sales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Unit Sales</c:v>
          </c:tx>
          <c:marker>
            <c:symbol val="none"/>
          </c:marker>
          <c:cat>
            <c:strRef>
              <c:f>'Executive Summary'!$A$24:$A$47</c:f>
              <c:strCache>
                <c:ptCount val="0"/>
              </c:strCache>
            </c:strRef>
          </c:cat>
          <c:val>
            <c:numRef>
              <c:f>'Executive Summary'!$B$24:$B$47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branches by aligned YTD sales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2017 aligned YTD sales</c:v>
          </c:tx>
          <c:cat>
            <c:strRef>
              <c:f>'Executive Summary'!$G$24:$G$33</c:f>
              <c:strCache>
                <c:ptCount val="0"/>
              </c:strCache>
            </c:strRef>
          </c:cat>
          <c:val>
            <c:numRef>
              <c:f>'Executive Summary'!$H$24:$H$33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463fac4f684c6e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3f8436f85040c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arterlyPerformance" displayName="QuarterlyPerformance" ref="A5:D24" headerRowCount="1" totalsRowCount="0" totalsRowShown="0">
  <x:tableColumns count="4">
    <x:tableColumn id="1" name="year"/>
    <x:tableColumn id="2" name="quarter"/>
    <x:tableColumn id="3" name="unit_sales"/>
    <x:tableColumn id="4" name="promotion_un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Performance" displayName="AnnualPerformance" ref="A5:D10" headerRowCount="1" totalsRowCount="0" totalsRowShown="0">
  <x:tableColumns count="4">
    <x:tableColumn id="1" name="year"/>
    <x:tableColumn id="2" name="unit_sales"/>
    <x:tableColumn id="3" name="promotion_units"/>
    <x:tableColumn id="4" name="observed_day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iverDiagnostics" displayName="DriverDiagnostics" ref="A5:D9" headerRowCount="1" totalsRowCount="0" totalsRowShown="0">
  <x:tableColumns count="4">
    <x:tableColumn id="1" name="relationship"/>
    <x:tableColumn id="2" name="measure"/>
    <x:tableColumn id="3" name="value"/>
    <x:tableColumn id="4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60d390b8c242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76d3892af6849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336d2fc21ba4d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d51b0b1c98c646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9" t="str">
        <x:v>Retail Demand Intelligence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 ht="28" customHeight="1">
      <x:c r="A3" s="60" t="str">
        <x:v>Management reporting and forecast monitoring | CRISP-DM independent Kaggle project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61"/>
      <x:c r="B4" s="61"/>
      <x:c r="C4" s="61"/>
      <x:c r="D4" s="61"/>
      <x:c r="E4" s="61"/>
      <x:c r="F4" s="61"/>
      <x:c r="G4" s="61"/>
      <x:c r="H4" s="61"/>
      <x:c r="I4" s="61"/>
      <x:c r="J4" s="61"/>
      <x:c r="K4" s="61"/>
      <x:c r="L4" s="61"/>
    </x:row>
    <x:row r="5">
      <x:c r="A5" s="62" t="str">
        <x:v>2017 aligned YTD sales</x:v>
      </x:c>
      <x:c r="B5" s="63"/>
      <x:c r="C5" s="64"/>
      <x:c r="D5" s="62" t="str">
        <x:v>Aligned YoY growth</x:v>
      </x:c>
      <x:c r="E5" s="63"/>
      <x:c r="F5" s="64"/>
      <x:c r="G5" s="62" t="str">
        <x:v>Validation RMSLE</x:v>
      </x:c>
      <x:c r="H5" s="63"/>
      <x:c r="I5" s="64"/>
      <x:c r="J5" s="62" t="str">
        <x:v>Forecast bias</x:v>
      </x:c>
      <x:c r="K5" s="63"/>
      <x:c r="L5" s="64"/>
    </x:row>
    <x:row r="6">
      <x:c r="A6" s="65" t="n">
        <x:f>SUM('Branch Scorecard'!B6:B59)</x:f>
        <x:v>194217066.80000004</x:v>
      </x:c>
      <x:c r="B6" s="66"/>
      <x:c r="C6" s="67"/>
      <x:c r="D6" s="68" t="n">
        <x:f>SUM('Branch Scorecard'!B6:B59)/SUM('Branch Scorecard'!D6:D59)-1</x:f>
        <x:v>0.09998791040544219</x:v>
      </x:c>
      <x:c r="E6" s="66"/>
      <x:c r="F6" s="67"/>
      <x:c r="G6" s="69" t="n">
        <x:f>'Model Summary'!B6</x:f>
        <x:v>0.5510361765498359</x:v>
      </x:c>
      <x:c r="H6" s="66"/>
      <x:c r="I6" s="67"/>
      <x:c r="J6" s="68" t="n">
        <x:f>'Model Summary'!B7</x:f>
        <x:v>-0.015034705294357855</x:v>
      </x:c>
      <x:c r="K6" s="66"/>
      <x:c r="L6" s="67"/>
    </x:row>
    <x:row r="7">
      <x:c r="A7" s="70"/>
      <x:c r="B7" s="71"/>
      <x:c r="C7" s="72"/>
      <x:c r="D7" s="70"/>
      <x:c r="E7" s="71"/>
      <x:c r="F7" s="72"/>
      <x:c r="G7" s="70"/>
      <x:c r="H7" s="71"/>
      <x:c r="I7" s="72"/>
      <x:c r="J7" s="70"/>
      <x:c r="K7" s="71"/>
      <x:c r="L7" s="72"/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</x:row>
    <x:row r="23">
      <x:c r="A23" s="73" t="str">
        <x:v>Month</x:v>
      </x:c>
      <x:c r="B23" s="74" t="str">
        <x:v>Unit Sales</x:v>
      </x:c>
      <x:c r="C23" s="74" t="str">
        <x:v>Promotion Units</x:v>
      </x:c>
      <x:c r="D23" s="75" t="str">
        <x:v>Complete Month</x:v>
      </x:c>
      <x:c r="E23" s="61"/>
      <x:c r="F23" s="61"/>
      <x:c r="G23" s="73" t="str">
        <x:v>Branch</x:v>
      </x:c>
      <x:c r="H23" s="75" t="str">
        <x:v>2017 aligned YTD sales</x:v>
      </x:c>
      <x:c r="I23" s="61"/>
      <x:c r="J23" s="61"/>
      <x:c r="K23" s="61"/>
      <x:c r="L23" s="61"/>
    </x:row>
    <x:row r="24">
      <x:c r="A24" s="61" t="str">
        <x:v>2015-09</x:v>
      </x:c>
      <x:c r="B24" s="76" t="n">
        <x:v>23240882</x:v>
      </x:c>
      <x:c r="C24" s="76" t="n">
        <x:v>140873</x:v>
      </x:c>
      <x:c r="D24" s="61"/>
      <x:c r="E24" s="61"/>
      <x:c r="F24" s="61"/>
      <x:c r="G24" s="61" t="str">
        <x:v>Store 44 — Quito</x:v>
      </x:c>
      <x:c r="H24" s="76" t="n">
        <x:v>10490120</x:v>
      </x:c>
      <x:c r="I24" s="61"/>
      <x:c r="J24" s="61"/>
      <x:c r="K24" s="61"/>
      <x:c r="L24" s="61"/>
    </x:row>
    <x:row r="25">
      <x:c r="A25" s="61" t="str">
        <x:v>2015-10</x:v>
      </x:c>
      <x:c r="B25" s="76" t="n">
        <x:v>23878268</x:v>
      </x:c>
      <x:c r="C25" s="76" t="n">
        <x:v>115220</x:v>
      </x:c>
      <x:c r="D25" s="61"/>
      <x:c r="E25" s="61"/>
      <x:c r="F25" s="61"/>
      <x:c r="G25" s="61" t="str">
        <x:v>Store 45 — Quito</x:v>
      </x:c>
      <x:c r="H25" s="76" t="n">
        <x:v>9655921</x:v>
      </x:c>
      <x:c r="I25" s="61"/>
      <x:c r="J25" s="61"/>
      <x:c r="K25" s="61"/>
      <x:c r="L25" s="61"/>
    </x:row>
    <x:row r="26">
      <x:c r="A26" s="61" t="str">
        <x:v>2015-11</x:v>
      </x:c>
      <x:c r="B26" s="76" t="n">
        <x:v>22804954</x:v>
      </x:c>
      <x:c r="C26" s="76" t="n">
        <x:v>128497</x:v>
      </x:c>
      <x:c r="D26" s="61"/>
      <x:c r="E26" s="61"/>
      <x:c r="F26" s="61"/>
      <x:c r="G26" s="61" t="str">
        <x:v>Store 47 — Quito</x:v>
      </x:c>
      <x:c r="H26" s="76" t="n">
        <x:v>9069118</x:v>
      </x:c>
      <x:c r="I26" s="61"/>
      <x:c r="J26" s="61"/>
      <x:c r="K26" s="61"/>
      <x:c r="L26" s="61"/>
    </x:row>
    <x:row r="27">
      <x:c r="A27" s="61" t="str">
        <x:v>2015-12</x:v>
      </x:c>
      <x:c r="B27" s="76" t="n">
        <x:v>27243982</x:v>
      </x:c>
      <x:c r="C27" s="76" t="n">
        <x:v>132993</x:v>
      </x:c>
      <x:c r="D27" s="61"/>
      <x:c r="E27" s="61"/>
      <x:c r="F27" s="61"/>
      <x:c r="G27" s="61" t="str">
        <x:v>Store 3 — Quito</x:v>
      </x:c>
      <x:c r="H27" s="76" t="n">
        <x:v>8712340</x:v>
      </x:c>
      <x:c r="I27" s="61"/>
      <x:c r="J27" s="61"/>
      <x:c r="K27" s="61"/>
      <x:c r="L27" s="61"/>
    </x:row>
    <x:row r="28">
      <x:c r="A28" s="61" t="str">
        <x:v>2016-01</x:v>
      </x:c>
      <x:c r="B28" s="76" t="n">
        <x:v>23977804</x:v>
      </x:c>
      <x:c r="C28" s="76" t="n">
        <x:v>119578</x:v>
      </x:c>
      <x:c r="D28" s="61"/>
      <x:c r="E28" s="61"/>
      <x:c r="F28" s="61"/>
      <x:c r="G28" s="61" t="str">
        <x:v>Store 49 — Quito</x:v>
      </x:c>
      <x:c r="H28" s="76" t="n">
        <x:v>8384248.5</x:v>
      </x:c>
      <x:c r="I28" s="61"/>
      <x:c r="J28" s="61"/>
      <x:c r="K28" s="61"/>
      <x:c r="L28" s="61"/>
    </x:row>
    <x:row r="29">
      <x:c r="A29" s="61" t="str">
        <x:v>2016-02</x:v>
      </x:c>
      <x:c r="B29" s="76" t="n">
        <x:v>21947408</x:v>
      </x:c>
      <x:c r="C29" s="76" t="n">
        <x:v>183541</x:v>
      </x:c>
      <x:c r="D29" s="61"/>
      <x:c r="E29" s="61"/>
      <x:c r="F29" s="61"/>
      <x:c r="G29" s="61" t="str">
        <x:v>Store 46 — Quito</x:v>
      </x:c>
      <x:c r="H29" s="76" t="n">
        <x:v>7237324</x:v>
      </x:c>
      <x:c r="I29" s="61"/>
      <x:c r="J29" s="61"/>
      <x:c r="K29" s="61"/>
      <x:c r="L29" s="61"/>
    </x:row>
    <x:row r="30">
      <x:c r="A30" s="61" t="str">
        <x:v>2016-03</x:v>
      </x:c>
      <x:c r="B30" s="76" t="n">
        <x:v>23131780</x:v>
      </x:c>
      <x:c r="C30" s="76" t="n">
        <x:v>181790</x:v>
      </x:c>
      <x:c r="D30" s="61"/>
      <x:c r="E30" s="61"/>
      <x:c r="F30" s="61"/>
      <x:c r="G30" s="61" t="str">
        <x:v>Store 48 — Quito</x:v>
      </x:c>
      <x:c r="H30" s="76" t="n">
        <x:v>6016146.5</x:v>
      </x:c>
      <x:c r="I30" s="61"/>
      <x:c r="J30" s="61"/>
      <x:c r="K30" s="61"/>
      <x:c r="L30" s="61"/>
    </x:row>
    <x:row r="31">
      <x:c r="A31" s="61" t="str">
        <x:v>2016-04</x:v>
      </x:c>
      <x:c r="B31" s="76" t="n">
        <x:v>25963026</x:v>
      </x:c>
      <x:c r="C31" s="76" t="n">
        <x:v>215312</x:v>
      </x:c>
      <x:c r="D31" s="61"/>
      <x:c r="E31" s="61"/>
      <x:c r="F31" s="61"/>
      <x:c r="G31" s="61" t="str">
        <x:v>Store 51 — Guayaquil</x:v>
      </x:c>
      <x:c r="H31" s="76" t="n">
        <x:v>5364285</x:v>
      </x:c>
      <x:c r="I31" s="61"/>
      <x:c r="J31" s="61"/>
      <x:c r="K31" s="61"/>
      <x:c r="L31" s="61"/>
    </x:row>
    <x:row r="32">
      <x:c r="A32" s="61" t="str">
        <x:v>2016-05</x:v>
      </x:c>
      <x:c r="B32" s="76" t="n">
        <x:v>24779432</x:v>
      </x:c>
      <x:c r="C32" s="76" t="n">
        <x:v>370019</x:v>
      </x:c>
      <x:c r="D32" s="61"/>
      <x:c r="E32" s="61"/>
      <x:c r="F32" s="61"/>
      <x:c r="G32" s="61" t="str">
        <x:v>Store 8 — Quito</x:v>
      </x:c>
      <x:c r="H32" s="76" t="n">
        <x:v>5250808</x:v>
      </x:c>
      <x:c r="I32" s="61"/>
      <x:c r="J32" s="61"/>
      <x:c r="K32" s="61"/>
      <x:c r="L32" s="61"/>
    </x:row>
    <x:row r="33">
      <x:c r="A33" s="61" t="str">
        <x:v>2016-06</x:v>
      </x:c>
      <x:c r="B33" s="76" t="n">
        <x:v>22209218</x:v>
      </x:c>
      <x:c r="C33" s="76" t="n">
        <x:v>285416</x:v>
      </x:c>
      <x:c r="D33" s="61"/>
      <x:c r="E33" s="61"/>
      <x:c r="F33" s="61"/>
      <x:c r="G33" s="61" t="str">
        <x:v>Store 50 — Ambato</x:v>
      </x:c>
      <x:c r="H33" s="76" t="n">
        <x:v>4915228</x:v>
      </x:c>
      <x:c r="I33" s="61"/>
      <x:c r="J33" s="61"/>
      <x:c r="K33" s="61"/>
      <x:c r="L33" s="61"/>
    </x:row>
    <x:row r="34">
      <x:c r="A34" s="61" t="str">
        <x:v>2016-07</x:v>
      </x:c>
      <x:c r="B34" s="76" t="n">
        <x:v>23462672</x:v>
      </x:c>
      <x:c r="C34" s="76" t="n">
        <x:v>264605</x:v>
      </x:c>
      <x:c r="D34" s="61"/>
      <x:c r="E34" s="61"/>
      <x:c r="F34" s="61"/>
      <x:c r="G34" s="61"/>
      <x:c r="H34" s="61"/>
      <x:c r="I34" s="61"/>
      <x:c r="J34" s="61"/>
      <x:c r="K34" s="61"/>
      <x:c r="L34" s="61"/>
    </x:row>
    <x:row r="35">
      <x:c r="A35" s="61" t="str">
        <x:v>2016-08</x:v>
      </x:c>
      <x:c r="B35" s="76" t="n">
        <x:v>22452414</x:v>
      </x:c>
      <x:c r="C35" s="76" t="n">
        <x:v>271592</x:v>
      </x:c>
      <x:c r="D35" s="61"/>
      <x:c r="E35" s="61"/>
      <x:c r="F35" s="61"/>
      <x:c r="G35" s="61"/>
      <x:c r="H35" s="61"/>
      <x:c r="I35" s="61"/>
      <x:c r="J35" s="61"/>
      <x:c r="K35" s="61"/>
      <x:c r="L35" s="61"/>
    </x:row>
    <x:row r="36">
      <x:c r="A36" s="61" t="str">
        <x:v>2016-09</x:v>
      </x:c>
      <x:c r="B36" s="76" t="n">
        <x:v>22417448</x:v>
      </x:c>
      <x:c r="C36" s="76" t="n">
        <x:v>296361</x:v>
      </x:c>
      <x:c r="D36" s="61"/>
      <x:c r="E36" s="61"/>
      <x:c r="F36" s="61"/>
      <x:c r="G36" s="61"/>
      <x:c r="H36" s="61"/>
      <x:c r="I36" s="61"/>
      <x:c r="J36" s="61"/>
      <x:c r="K36" s="61"/>
      <x:c r="L36" s="61"/>
    </x:row>
    <x:row r="37">
      <x:c r="A37" s="61" t="str">
        <x:v>2016-10</x:v>
      </x:c>
      <x:c r="B37" s="76" t="n">
        <x:v>24030390</x:v>
      </x:c>
      <x:c r="C37" s="76" t="n">
        <x:v>370514</x:v>
      </x:c>
      <x:c r="D37" s="61"/>
      <x:c r="E37" s="61"/>
      <x:c r="F37" s="61"/>
      <x:c r="G37" s="61"/>
      <x:c r="H37" s="61"/>
      <x:c r="I37" s="61"/>
      <x:c r="J37" s="61"/>
      <x:c r="K37" s="61"/>
      <x:c r="L37" s="61"/>
    </x:row>
    <x:row r="38">
      <x:c r="A38" s="61" t="str">
        <x:v>2016-11</x:v>
      </x:c>
      <x:c r="B38" s="76" t="n">
        <x:v>24642640</x:v>
      </x:c>
      <x:c r="C38" s="76" t="n">
        <x:v>438358</x:v>
      </x:c>
      <x:c r="D38" s="61"/>
      <x:c r="E38" s="61"/>
      <x:c r="F38" s="61"/>
      <x:c r="G38" s="61"/>
      <x:c r="H38" s="61"/>
      <x:c r="I38" s="61"/>
      <x:c r="J38" s="61"/>
      <x:c r="K38" s="61"/>
      <x:c r="L38" s="61"/>
    </x:row>
    <x:row r="39">
      <x:c r="A39" s="61" t="str">
        <x:v>2016-12</x:v>
      </x:c>
      <x:c r="B39" s="76" t="n">
        <x:v>29640288</x:v>
      </x:c>
      <x:c r="C39" s="76" t="n">
        <x:v>517498</x:v>
      </x:c>
      <x:c r="D39" s="61"/>
      <x:c r="E39" s="61"/>
      <x:c r="F39" s="61"/>
      <x:c r="G39" s="61"/>
      <x:c r="H39" s="61"/>
      <x:c r="I39" s="61"/>
      <x:c r="J39" s="61"/>
      <x:c r="K39" s="61"/>
      <x:c r="L39" s="61"/>
    </x:row>
    <x:row r="40">
      <x:c r="A40" s="61" t="str">
        <x:v>2017-01</x:v>
      </x:c>
      <x:c r="B40" s="76" t="n">
        <x:v>26328160</x:v>
      </x:c>
      <x:c r="C40" s="76" t="n">
        <x:v>363428</x:v>
      </x:c>
      <x:c r="D40" s="61"/>
      <x:c r="E40" s="61"/>
      <x:c r="F40" s="61"/>
      <x:c r="G40" s="61"/>
      <x:c r="H40" s="61"/>
      <x:c r="I40" s="61"/>
      <x:c r="J40" s="61"/>
      <x:c r="K40" s="61"/>
      <x:c r="L40" s="61"/>
    </x:row>
    <x:row r="41">
      <x:c r="A41" s="61" t="str">
        <x:v>2017-02</x:v>
      </x:c>
      <x:c r="B41" s="76" t="n">
        <x:v>23250112</x:v>
      </x:c>
      <x:c r="C41" s="76" t="n">
        <x:v>297254</x:v>
      </x:c>
      <x:c r="D41" s="61"/>
      <x:c r="E41" s="61"/>
      <x:c r="F41" s="61"/>
      <x:c r="G41" s="61"/>
      <x:c r="H41" s="61"/>
      <x:c r="I41" s="61"/>
      <x:c r="J41" s="61"/>
      <x:c r="K41" s="61"/>
      <x:c r="L41" s="61"/>
    </x:row>
    <x:row r="42">
      <x:c r="A42" s="61" t="str">
        <x:v>2017-03</x:v>
      </x:c>
      <x:c r="B42" s="76" t="n">
        <x:v>26704018</x:v>
      </x:c>
      <x:c r="C42" s="76" t="n">
        <x:v>339291</x:v>
      </x:c>
      <x:c r="D42" s="61"/>
      <x:c r="E42" s="61"/>
      <x:c r="F42" s="61"/>
      <x:c r="G42" s="61"/>
      <x:c r="H42" s="61"/>
      <x:c r="I42" s="61"/>
      <x:c r="J42" s="61"/>
      <x:c r="K42" s="61"/>
      <x:c r="L42" s="61"/>
    </x:row>
    <x:row r="43">
      <x:c r="A43" s="61" t="str">
        <x:v>2017-04</x:v>
      </x:c>
      <x:c r="B43" s="76" t="n">
        <x:v>25895308</x:v>
      </x:c>
      <x:c r="C43" s="76" t="n">
        <x:v>371042</x:v>
      </x:c>
      <x:c r="D43" s="61"/>
      <x:c r="E43" s="61"/>
      <x:c r="F43" s="61"/>
      <x:c r="G43" s="61"/>
      <x:c r="H43" s="61"/>
      <x:c r="I43" s="61"/>
      <x:c r="J43" s="61"/>
      <x:c r="K43" s="61"/>
      <x:c r="L43" s="61"/>
    </x:row>
    <x:row r="44">
      <x:c r="A44" s="61" t="str">
        <x:v>2017-05</x:v>
      </x:c>
      <x:c r="B44" s="76" t="n">
        <x:v>26911848</x:v>
      </x:c>
      <x:c r="C44" s="76" t="n">
        <x:v>414646</x:v>
      </x:c>
      <x:c r="D44" s="61"/>
      <x:c r="E44" s="61"/>
      <x:c r="F44" s="61"/>
      <x:c r="G44" s="61"/>
      <x:c r="H44" s="61"/>
      <x:c r="I44" s="61"/>
      <x:c r="J44" s="61"/>
      <x:c r="K44" s="61"/>
      <x:c r="L44" s="61"/>
    </x:row>
    <x:row r="45">
      <x:c r="A45" s="61" t="str">
        <x:v>2017-06</x:v>
      </x:c>
      <x:c r="B45" s="76" t="n">
        <x:v>25682822</x:v>
      </x:c>
      <x:c r="C45" s="76" t="n">
        <x:v>394582</x:v>
      </x:c>
      <x:c r="D45" s="61"/>
      <x:c r="E45" s="61"/>
      <x:c r="F45" s="61"/>
      <x:c r="G45" s="61"/>
      <x:c r="H45" s="61"/>
      <x:c r="I45" s="61"/>
      <x:c r="J45" s="61"/>
      <x:c r="K45" s="61"/>
      <x:c r="L45" s="61"/>
    </x:row>
    <x:row r="46">
      <x:c r="A46" s="61" t="str">
        <x:v>2017-07</x:v>
      </x:c>
      <x:c r="B46" s="76" t="n">
        <x:v>27011478</x:v>
      </x:c>
      <x:c r="C46" s="76" t="n">
        <x:v>409128</x:v>
      </x:c>
      <x:c r="D46" s="61"/>
      <x:c r="E46" s="61"/>
      <x:c r="F46" s="61"/>
      <x:c r="G46" s="61"/>
      <x:c r="H46" s="61"/>
      <x:c r="I46" s="61"/>
      <x:c r="J46" s="61"/>
      <x:c r="K46" s="61"/>
      <x:c r="L46" s="61"/>
    </x:row>
    <x:row r="47">
      <x:c r="A47" s="61" t="str">
        <x:v>2017-08</x:v>
      </x:c>
      <x:c r="B47" s="76" t="n">
        <x:v>12433323</x:v>
      </x:c>
      <x:c r="C47" s="76" t="n">
        <x:v>160278</x:v>
      </x:c>
      <x:c r="D47" s="61"/>
      <x:c r="E47" s="61"/>
      <x:c r="F47" s="61"/>
      <x:c r="G47" s="61"/>
      <x:c r="H47" s="61"/>
      <x:c r="I47" s="61"/>
      <x:c r="J47" s="61"/>
      <x:c r="K47" s="61"/>
      <x:c r="L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</x:row>
  </x:sheetData>
  <x:mergeCells>
    <x:mergeCell ref="A1:L2"/>
    <x:mergeCell ref="A3:L3"/>
    <x:mergeCell ref="A5:C5"/>
    <x:mergeCell ref="D5:F5"/>
    <x:mergeCell ref="G5:I5"/>
    <x:mergeCell ref="J5:L5"/>
    <x:mergeCell ref="A6:C7"/>
    <x:mergeCell ref="D6:F7"/>
    <x:mergeCell ref="G6:I7"/>
    <x:mergeCell ref="J6:L7"/>
  </x:mergeCells>
  <x:pageMargins left="0.7" right="0.7" top="0.75" bottom="0.75" header="0.3" footer="0.3"/>
  <x:drawing xmlns:r="http://schemas.openxmlformats.org/officeDocument/2006/relationships" r:id="Rcc60d390b8c2423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</x:cols>
  <x:sheetData>
    <x:row r="1" ht="30" customHeight="1">
      <x:c r="A1" s="59" t="str">
        <x:v>Monthly Performance</x:v>
      </x:c>
      <x:c r="B1" s="59"/>
      <x:c r="C1" s="59"/>
      <x:c r="D1" s="59"/>
      <x:c r="E1" s="59"/>
      <x:c r="F1" s="59"/>
      <x:c r="G1" s="59"/>
      <x:c r="H1" s="59"/>
      <x:c r="I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</x:row>
    <x:row r="3" ht="28" customHeight="1">
      <x:c r="A3" s="60" t="str">
        <x:v>Growth formulas are workbook-driven; the latest partial month is explicitly flagged</x:v>
      </x:c>
      <x:c r="B3" s="60"/>
      <x:c r="C3" s="60"/>
      <x:c r="D3" s="60"/>
      <x:c r="E3" s="60"/>
      <x:c r="F3" s="60"/>
      <x:c r="G3" s="60"/>
      <x:c r="H3" s="60"/>
      <x:c r="I3" s="60"/>
    </x:row>
    <x:row r="4">
      <x:c r="A4" s="61"/>
      <x:c r="B4" s="61"/>
      <x:c r="C4" s="61"/>
      <x:c r="D4" s="61"/>
      <x:c r="E4" s="61"/>
      <x:c r="F4" s="61"/>
      <x:c r="G4" s="61"/>
      <x:c r="H4" s="61"/>
      <x:c r="I4" s="61"/>
    </x:row>
    <x:row r="5">
      <x:c r="A5" s="77" t="str">
        <x:v>Month</x:v>
      </x:c>
      <x:c r="B5" s="78" t="str">
        <x:v>Unit Sales</x:v>
      </x:c>
      <x:c r="C5" s="78" t="str">
        <x:v>Promotion Units</x:v>
      </x:c>
      <x:c r="D5" s="78" t="str">
        <x:v>Prior Month Sales</x:v>
      </x:c>
      <x:c r="E5" s="78" t="str">
        <x:v>Growth MoM</x:v>
      </x:c>
      <x:c r="F5" s="78" t="str">
        <x:v>Prior Year Sales</x:v>
      </x:c>
      <x:c r="G5" s="78" t="str">
        <x:v>Growth YoY</x:v>
      </x:c>
      <x:c r="H5" s="78" t="str">
        <x:v>Complete Month</x:v>
      </x:c>
      <x:c r="I5" s="79" t="str">
        <x:v>Review Note</x:v>
      </x:c>
    </x:row>
    <x:row r="6">
      <x:c r="A6" s="80" t="n">
        <x:v>41275</x:v>
      </x:c>
      <x:c r="B6" s="81" t="n">
        <x:v>10327625</x:v>
      </x:c>
      <x:c r="C6" s="81" t="n">
        <x:v>0</x:v>
      </x:c>
      <x:c r="D6" s="81" t="str"/>
      <x:c r="E6" s="82" t="str"/>
      <x:c r="F6" s="81" t="str"/>
      <x:c r="G6" s="82" t="str"/>
      <x:c r="H6" s="83" t="b">
        <x:v>0</x:v>
      </x:c>
      <x:c r="I6" s="84" t="str">
        <x:f>IF(H6,"Complete month","Partial month—avoid full-period comparison")</x:f>
        <x:v>Partial month—avoid full-period comparison</x:v>
      </x:c>
    </x:row>
    <x:row r="7">
      <x:c r="A7" s="80" t="n">
        <x:v>41306</x:v>
      </x:c>
      <x:c r="B7" s="81" t="n">
        <x:v>9658960</x:v>
      </x:c>
      <x:c r="C7" s="81" t="n">
        <x:v>0</x:v>
      </x:c>
      <x:c r="D7" s="81" t="n">
        <x:f>B6</x:f>
        <x:v>10327625</x:v>
      </x:c>
      <x:c r="E7" s="82" t="n">
        <x:f>IFERROR(B7/D7-1,"")</x:f>
        <x:v>-0.06474528267631718</x:v>
      </x:c>
      <x:c r="F7" s="81" t="str"/>
      <x:c r="G7" s="82" t="str"/>
      <x:c r="H7" s="83" t="b">
        <x:v>0</x:v>
      </x:c>
      <x:c r="I7" s="84" t="str">
        <x:f>IF(H7,"Complete month","Partial month—avoid full-period comparison")</x:f>
        <x:v>Partial month—avoid full-period comparison</x:v>
      </x:c>
    </x:row>
    <x:row r="8">
      <x:c r="A8" s="80" t="n">
        <x:v>41334</x:v>
      </x:c>
      <x:c r="B8" s="81" t="n">
        <x:v>11428497</x:v>
      </x:c>
      <x:c r="C8" s="81" t="n">
        <x:v>0</x:v>
      </x:c>
      <x:c r="D8" s="81" t="n">
        <x:f>B7</x:f>
        <x:v>9658960</x:v>
      </x:c>
      <x:c r="E8" s="82" t="n">
        <x:f>IFERROR(B8/D8-1,"")</x:f>
        <x:v>0.18320160762649396</x:v>
      </x:c>
      <x:c r="F8" s="81" t="str"/>
      <x:c r="G8" s="82" t="str"/>
      <x:c r="H8" s="83" t="b">
        <x:v>0</x:v>
      </x:c>
      <x:c r="I8" s="84" t="str">
        <x:f>IF(H8,"Complete month","Partial month—avoid full-period comparison")</x:f>
        <x:v>Partial month—avoid full-period comparison</x:v>
      </x:c>
    </x:row>
    <x:row r="9">
      <x:c r="A9" s="80" t="n">
        <x:v>41365</x:v>
      </x:c>
      <x:c r="B9" s="81" t="n">
        <x:v>10993465</x:v>
      </x:c>
      <x:c r="C9" s="81" t="n">
        <x:v>0</x:v>
      </x:c>
      <x:c r="D9" s="81" t="n">
        <x:f>B8</x:f>
        <x:v>11428497</x:v>
      </x:c>
      <x:c r="E9" s="82" t="n">
        <x:f>IFERROR(B9/D9-1,"")</x:f>
        <x:v>-0.03806554790188066</x:v>
      </x:c>
      <x:c r="F9" s="81" t="str"/>
      <x:c r="G9" s="82" t="str"/>
      <x:c r="H9" s="83" t="b">
        <x:v>0</x:v>
      </x:c>
      <x:c r="I9" s="84" t="str">
        <x:f>IF(H9,"Complete month","Partial month—avoid full-period comparison")</x:f>
        <x:v>Partial month—avoid full-period comparison</x:v>
      </x:c>
    </x:row>
    <x:row r="10">
      <x:c r="A10" s="80" t="n">
        <x:v>41395</x:v>
      </x:c>
      <x:c r="B10" s="81" t="n">
        <x:v>11597704</x:v>
      </x:c>
      <x:c r="C10" s="81" t="n">
        <x:v>0</x:v>
      </x:c>
      <x:c r="D10" s="81" t="n">
        <x:f>B9</x:f>
        <x:v>10993465</x:v>
      </x:c>
      <x:c r="E10" s="82" t="n">
        <x:f>IFERROR(B10/D10-1,"")</x:f>
        <x:v>0.054963471480556914</x:v>
      </x:c>
      <x:c r="F10" s="81" t="str"/>
      <x:c r="G10" s="82" t="str"/>
      <x:c r="H10" s="83" t="b">
        <x:v>0</x:v>
      </x:c>
      <x:c r="I10" s="84" t="str">
        <x:f>IF(H10,"Complete month","Partial month—avoid full-period comparison")</x:f>
        <x:v>Partial month—avoid full-period comparison</x:v>
      </x:c>
    </x:row>
    <x:row r="11">
      <x:c r="A11" s="80" t="n">
        <x:v>41426</x:v>
      </x:c>
      <x:c r="B11" s="81" t="n">
        <x:v>11689344</x:v>
      </x:c>
      <x:c r="C11" s="81" t="n">
        <x:v>0</x:v>
      </x:c>
      <x:c r="D11" s="81" t="n">
        <x:f>B10</x:f>
        <x:v>11597704</x:v>
      </x:c>
      <x:c r="E11" s="82" t="n">
        <x:f>IFERROR(B11/D11-1,"")</x:f>
        <x:v>0.007901563964729519</x:v>
      </x:c>
      <x:c r="F11" s="81" t="str"/>
      <x:c r="G11" s="82" t="str"/>
      <x:c r="H11" s="83" t="b">
        <x:v>0</x:v>
      </x:c>
      <x:c r="I11" s="84" t="str">
        <x:f>IF(H11,"Complete month","Partial month—avoid full-period comparison")</x:f>
        <x:v>Partial month—avoid full-period comparison</x:v>
      </x:c>
    </x:row>
    <x:row r="12">
      <x:c r="A12" s="80" t="n">
        <x:v>41456</x:v>
      </x:c>
      <x:c r="B12" s="81" t="n">
        <x:v>11257401</x:v>
      </x:c>
      <x:c r="C12" s="81" t="n">
        <x:v>0</x:v>
      </x:c>
      <x:c r="D12" s="81" t="n">
        <x:f>B11</x:f>
        <x:v>11689344</x:v>
      </x:c>
      <x:c r="E12" s="82" t="n">
        <x:f>IFERROR(B12/D12-1,"")</x:f>
        <x:v>-0.03695185974508064</x:v>
      </x:c>
      <x:c r="F12" s="81" t="str"/>
      <x:c r="G12" s="82" t="str"/>
      <x:c r="H12" s="83" t="b">
        <x:v>0</x:v>
      </x:c>
      <x:c r="I12" s="84" t="str">
        <x:f>IF(H12,"Complete month","Partial month—avoid full-period comparison")</x:f>
        <x:v>Partial month—avoid full-period comparison</x:v>
      </x:c>
    </x:row>
    <x:row r="13">
      <x:c r="A13" s="80" t="n">
        <x:v>41487</x:v>
      </x:c>
      <x:c r="B13" s="81" t="n">
        <x:v>11737789</x:v>
      </x:c>
      <x:c r="C13" s="81" t="n">
        <x:v>0</x:v>
      </x:c>
      <x:c r="D13" s="81" t="n">
        <x:f>B12</x:f>
        <x:v>11257401</x:v>
      </x:c>
      <x:c r="E13" s="82" t="n">
        <x:f>IFERROR(B13/D13-1,"")</x:f>
        <x:v>0.04267308235710887</x:v>
      </x:c>
      <x:c r="F13" s="81" t="str"/>
      <x:c r="G13" s="82" t="str"/>
      <x:c r="H13" s="83" t="b">
        <x:v>0</x:v>
      </x:c>
      <x:c r="I13" s="84" t="str">
        <x:f>IF(H13,"Complete month","Partial month—avoid full-period comparison")</x:f>
        <x:v>Partial month—avoid full-period comparison</x:v>
      </x:c>
    </x:row>
    <x:row r="14">
      <x:c r="A14" s="80" t="n">
        <x:v>41518</x:v>
      </x:c>
      <x:c r="B14" s="81" t="n">
        <x:v>11792933</x:v>
      </x:c>
      <x:c r="C14" s="81" t="n">
        <x:v>0</x:v>
      </x:c>
      <x:c r="D14" s="81" t="n">
        <x:f>B13</x:f>
        <x:v>11737789</x:v>
      </x:c>
      <x:c r="E14" s="82" t="n">
        <x:f>IFERROR(B14/D14-1,"")</x:f>
        <x:v>0.004697988692759836</x:v>
      </x:c>
      <x:c r="F14" s="81" t="str"/>
      <x:c r="G14" s="82" t="str"/>
      <x:c r="H14" s="83" t="b">
        <x:v>0</x:v>
      </x:c>
      <x:c r="I14" s="84" t="str">
        <x:f>IF(H14,"Complete month","Partial month—avoid full-period comparison")</x:f>
        <x:v>Partial month—avoid full-period comparison</x:v>
      </x:c>
    </x:row>
    <x:row r="15">
      <x:c r="A15" s="80" t="n">
        <x:v>41548</x:v>
      </x:c>
      <x:c r="B15" s="81" t="n">
        <x:v>11775620</x:v>
      </x:c>
      <x:c r="C15" s="81" t="n">
        <x:v>0</x:v>
      </x:c>
      <x:c r="D15" s="81" t="n">
        <x:f>B14</x:f>
        <x:v>11792933</x:v>
      </x:c>
      <x:c r="E15" s="82" t="n">
        <x:f>IFERROR(B15/D15-1,"")</x:f>
        <x:v>-0.0014680826220245802</x:v>
      </x:c>
      <x:c r="F15" s="81" t="str"/>
      <x:c r="G15" s="82" t="str"/>
      <x:c r="H15" s="83" t="b">
        <x:v>0</x:v>
      </x:c>
      <x:c r="I15" s="84" t="str">
        <x:f>IF(H15,"Complete month","Partial month—avoid full-period comparison")</x:f>
        <x:v>Partial month—avoid full-period comparison</x:v>
      </x:c>
    </x:row>
    <x:row r="16">
      <x:c r="A16" s="80" t="n">
        <x:v>41579</x:v>
      </x:c>
      <x:c r="B16" s="81" t="n">
        <x:v>12356559</x:v>
      </x:c>
      <x:c r="C16" s="81" t="n">
        <x:v>0</x:v>
      </x:c>
      <x:c r="D16" s="81" t="n">
        <x:f>B15</x:f>
        <x:v>11775620</x:v>
      </x:c>
      <x:c r="E16" s="82" t="n">
        <x:f>IFERROR(B16/D16-1,"")</x:f>
        <x:v>0.04933404780385242</x:v>
      </x:c>
      <x:c r="F16" s="81" t="str"/>
      <x:c r="G16" s="82" t="str"/>
      <x:c r="H16" s="83" t="b">
        <x:v>0</x:v>
      </x:c>
      <x:c r="I16" s="84" t="str">
        <x:f>IF(H16,"Complete month","Partial month—avoid full-period comparison")</x:f>
        <x:v>Partial month—avoid full-period comparison</x:v>
      </x:c>
    </x:row>
    <x:row r="17">
      <x:c r="A17" s="80" t="n">
        <x:v>41609</x:v>
      </x:c>
      <x:c r="B17" s="81" t="n">
        <x:v>15803117</x:v>
      </x:c>
      <x:c r="C17" s="81" t="n">
        <x:v>0</x:v>
      </x:c>
      <x:c r="D17" s="81" t="n">
        <x:f>B16</x:f>
        <x:v>12356559</x:v>
      </x:c>
      <x:c r="E17" s="82" t="n">
        <x:f>IFERROR(B17/D17-1,"")</x:f>
        <x:v>0.27892538691394586</x:v>
      </x:c>
      <x:c r="F17" s="81" t="str"/>
      <x:c r="G17" s="82" t="str"/>
      <x:c r="H17" s="83" t="b">
        <x:v>0</x:v>
      </x:c>
      <x:c r="I17" s="84" t="str">
        <x:f>IF(H17,"Complete month","Partial month—avoid full-period comparison")</x:f>
        <x:v>Partial month—avoid full-period comparison</x:v>
      </x:c>
    </x:row>
    <x:row r="18">
      <x:c r="A18" s="80" t="n">
        <x:v>41640</x:v>
      </x:c>
      <x:c r="B18" s="81" t="n">
        <x:v>18911640</x:v>
      </x:c>
      <x:c r="C18" s="81" t="n">
        <x:v>0</x:v>
      </x:c>
      <x:c r="D18" s="81" t="n">
        <x:f>B17</x:f>
        <x:v>15803117</x:v>
      </x:c>
      <x:c r="E18" s="82" t="n">
        <x:f>IFERROR(B18/D18-1,"")</x:f>
        <x:v>0.19670315672534722</x:v>
      </x:c>
      <x:c r="F18" s="81" t="n">
        <x:f>B6</x:f>
        <x:v>10327625</x:v>
      </x:c>
      <x:c r="G18" s="82" t="n">
        <x:f>IFERROR(B18/F18-1,"")</x:f>
        <x:v>0.8311702835840766</x:v>
      </x:c>
      <x:c r="H18" s="83" t="b">
        <x:v>0</x:v>
      </x:c>
      <x:c r="I18" s="84" t="str">
        <x:f>IF(H18,"Complete month","Partial month—avoid full-period comparison")</x:f>
        <x:v>Partial month—avoid full-period comparison</x:v>
      </x:c>
    </x:row>
    <x:row r="19">
      <x:c r="A19" s="80" t="n">
        <x:v>41671</x:v>
      </x:c>
      <x:c r="B19" s="81" t="n">
        <x:v>12038353</x:v>
      </x:c>
      <x:c r="C19" s="81" t="n">
        <x:v>0</x:v>
      </x:c>
      <x:c r="D19" s="81" t="n">
        <x:f>B18</x:f>
        <x:v>18911640</x:v>
      </x:c>
      <x:c r="E19" s="82" t="n">
        <x:f>IFERROR(B19/D19-1,"")</x:f>
        <x:v>-0.36344214462627245</x:v>
      </x:c>
      <x:c r="F19" s="81" t="n">
        <x:f>B7</x:f>
        <x:v>9658960</x:v>
      </x:c>
      <x:c r="G19" s="82" t="n">
        <x:f>IFERROR(B19/F19-1,"")</x:f>
        <x:v>0.2463404962853144</x:v>
      </x:c>
      <x:c r="H19" s="83" t="b">
        <x:v>0</x:v>
      </x:c>
      <x:c r="I19" s="84" t="str">
        <x:f>IF(H19,"Complete month","Partial month—avoid full-period comparison")</x:f>
        <x:v>Partial month—avoid full-period comparison</x:v>
      </x:c>
    </x:row>
    <x:row r="20">
      <x:c r="A20" s="80" t="n">
        <x:v>41699</x:v>
      </x:c>
      <x:c r="B20" s="81" t="n">
        <x:v>20365584</x:v>
      </x:c>
      <x:c r="C20" s="81" t="n">
        <x:v>0</x:v>
      </x:c>
      <x:c r="D20" s="81" t="n">
        <x:f>B19</x:f>
        <x:v>12038353</x:v>
      </x:c>
      <x:c r="E20" s="82" t="n">
        <x:f>IFERROR(B20/D20-1,"")</x:f>
        <x:v>0.6917251055854567</x:v>
      </x:c>
      <x:c r="F20" s="81" t="n">
        <x:f>B8</x:f>
        <x:v>11428497</x:v>
      </x:c>
      <x:c r="G20" s="82" t="n">
        <x:f>IFERROR(B20/F20-1,"")</x:f>
        <x:v>0.7820002052763368</x:v>
      </x:c>
      <x:c r="H20" s="83" t="b">
        <x:v>0</x:v>
      </x:c>
      <x:c r="I20" s="84" t="str">
        <x:f>IF(H20,"Complete month","Partial month—avoid full-period comparison")</x:f>
        <x:v>Partial month—avoid full-period comparison</x:v>
      </x:c>
    </x:row>
    <x:row r="21">
      <x:c r="A21" s="80" t="n">
        <x:v>41730</x:v>
      </x:c>
      <x:c r="B21" s="81" t="n">
        <x:v>12861251</x:v>
      </x:c>
      <x:c r="C21" s="81" t="n">
        <x:v>1939</x:v>
      </x:c>
      <x:c r="D21" s="81" t="n">
        <x:f>B20</x:f>
        <x:v>20365584</x:v>
      </x:c>
      <x:c r="E21" s="82" t="n">
        <x:f>IFERROR(B21/D21-1,"")</x:f>
        <x:v>-0.36848111009239903</x:v>
      </x:c>
      <x:c r="F21" s="81" t="n">
        <x:f>B9</x:f>
        <x:v>10993465</x:v>
      </x:c>
      <x:c r="G21" s="82" t="n">
        <x:f>IFERROR(B21/F21-1,"")</x:f>
        <x:v>0.1698996631180434</x:v>
      </x:c>
      <x:c r="H21" s="83" t="b">
        <x:v>0</x:v>
      </x:c>
      <x:c r="I21" s="84" t="str">
        <x:f>IF(H21,"Complete month","Partial month—avoid full-period comparison")</x:f>
        <x:v>Partial month—avoid full-period comparison</x:v>
      </x:c>
    </x:row>
    <x:row r="22">
      <x:c r="A22" s="80" t="n">
        <x:v>41760</x:v>
      </x:c>
      <x:c r="B22" s="81" t="n">
        <x:v>13379785</x:v>
      </x:c>
      <x:c r="C22" s="81" t="n">
        <x:v>11575</x:v>
      </x:c>
      <x:c r="D22" s="81" t="n">
        <x:f>B21</x:f>
        <x:v>12861251</x:v>
      </x:c>
      <x:c r="E22" s="82" t="n">
        <x:f>IFERROR(B22/D22-1,"")</x:f>
        <x:v>0.0403175398722877</x:v>
      </x:c>
      <x:c r="F22" s="81" t="n">
        <x:f>B10</x:f>
        <x:v>11597704</x:v>
      </x:c>
      <x:c r="G22" s="82" t="n">
        <x:f>IFERROR(B22/F22-1,"")</x:f>
        <x:v>0.15365808611773502</x:v>
      </x:c>
      <x:c r="H22" s="83" t="b">
        <x:v>0</x:v>
      </x:c>
      <x:c r="I22" s="84" t="str">
        <x:f>IF(H22,"Complete month","Partial month—avoid full-period comparison")</x:f>
        <x:v>Partial month—avoid full-period comparison</x:v>
      </x:c>
    </x:row>
    <x:row r="23">
      <x:c r="A23" s="80" t="n">
        <x:v>41791</x:v>
      </x:c>
      <x:c r="B23" s="81" t="n">
        <x:v>13319958</x:v>
      </x:c>
      <x:c r="C23" s="81" t="n">
        <x:v>21496</x:v>
      </x:c>
      <x:c r="D23" s="81" t="n">
        <x:f>B22</x:f>
        <x:v>13379785</x:v>
      </x:c>
      <x:c r="E23" s="82" t="n">
        <x:f>IFERROR(B23/D23-1,"")</x:f>
        <x:v>-0.004471447037452392</x:v>
      </x:c>
      <x:c r="F23" s="81" t="n">
        <x:f>B11</x:f>
        <x:v>11689344</x:v>
      </x:c>
      <x:c r="G23" s="82" t="n">
        <x:f>IFERROR(B23/F23-1,"")</x:f>
        <x:v>0.13949576640057826</x:v>
      </x:c>
      <x:c r="H23" s="83" t="b">
        <x:v>0</x:v>
      </x:c>
      <x:c r="I23" s="84" t="str">
        <x:f>IF(H23,"Complete month","Partial month—avoid full-period comparison")</x:f>
        <x:v>Partial month—avoid full-period comparison</x:v>
      </x:c>
    </x:row>
    <x:row r="24">
      <x:c r="A24" s="80" t="n">
        <x:v>41821</x:v>
      </x:c>
      <x:c r="B24" s="81" t="n">
        <x:v>19421892</x:v>
      </x:c>
      <x:c r="C24" s="81" t="n">
        <x:v>69665</x:v>
      </x:c>
      <x:c r="D24" s="81" t="n">
        <x:f>B23</x:f>
        <x:v>13319958</x:v>
      </x:c>
      <x:c r="E24" s="82" t="n">
        <x:f>IFERROR(B24/D24-1,"")</x:f>
        <x:v>0.45810459762710964</x:v>
      </x:c>
      <x:c r="F24" s="81" t="n">
        <x:f>B12</x:f>
        <x:v>11257401</x:v>
      </x:c>
      <x:c r="G24" s="82" t="n">
        <x:f>IFERROR(B24/F24-1,"")</x:f>
        <x:v>0.7252554119729766</x:v>
      </x:c>
      <x:c r="H24" s="83" t="b">
        <x:v>0</x:v>
      </x:c>
      <x:c r="I24" s="84" t="str">
        <x:f>IF(H24,"Complete month","Partial month—avoid full-period comparison")</x:f>
        <x:v>Partial month—avoid full-period comparison</x:v>
      </x:c>
    </x:row>
    <x:row r="25">
      <x:c r="A25" s="80" t="n">
        <x:v>41852</x:v>
      </x:c>
      <x:c r="B25" s="81" t="n">
        <x:v>13885176</x:v>
      </x:c>
      <x:c r="C25" s="81" t="n">
        <x:v>42940</x:v>
      </x:c>
      <x:c r="D25" s="81" t="n">
        <x:f>B24</x:f>
        <x:v>19421892</x:v>
      </x:c>
      <x:c r="E25" s="82" t="n">
        <x:f>IFERROR(B25/D25-1,"")</x:f>
        <x:v>-0.2850760368763249</x:v>
      </x:c>
      <x:c r="F25" s="81" t="n">
        <x:f>B13</x:f>
        <x:v>11737789</x:v>
      </x:c>
      <x:c r="G25" s="82" t="n">
        <x:f>IFERROR(B25/F25-1,"")</x:f>
        <x:v>0.18294646461952935</x:v>
      </x:c>
      <x:c r="H25" s="83" t="b">
        <x:v>0</x:v>
      </x:c>
      <x:c r="I25" s="84" t="str">
        <x:f>IF(H25,"Complete month","Partial month—avoid full-period comparison")</x:f>
        <x:v>Partial month—avoid full-period comparison</x:v>
      </x:c>
    </x:row>
    <x:row r="26">
      <x:c r="A26" s="80" t="n">
        <x:v>41883</x:v>
      </x:c>
      <x:c r="B26" s="81" t="n">
        <x:v>20022416</x:v>
      </x:c>
      <x:c r="C26" s="81" t="n">
        <x:v>71659</x:v>
      </x:c>
      <x:c r="D26" s="81" t="n">
        <x:f>B25</x:f>
        <x:v>13885176</x:v>
      </x:c>
      <x:c r="E26" s="82" t="n">
        <x:f>IFERROR(B26/D26-1,"")</x:f>
        <x:v>0.44199943882598247</x:v>
      </x:c>
      <x:c r="F26" s="81" t="n">
        <x:f>B14</x:f>
        <x:v>11792933</x:v>
      </x:c>
      <x:c r="G26" s="82" t="n">
        <x:f>IFERROR(B26/F26-1,"")</x:f>
        <x:v>0.6978317438079229</x:v>
      </x:c>
      <x:c r="H26" s="83" t="b">
        <x:v>0</x:v>
      </x:c>
      <x:c r="I26" s="84" t="str">
        <x:f>IF(H26,"Complete month","Partial month—avoid full-period comparison")</x:f>
        <x:v>Partial month—avoid full-period comparison</x:v>
      </x:c>
    </x:row>
    <x:row r="27">
      <x:c r="A27" s="80" t="n">
        <x:v>41913</x:v>
      </x:c>
      <x:c r="B27" s="81" t="n">
        <x:v>20396102</x:v>
      </x:c>
      <x:c r="C27" s="81" t="n">
        <x:v>76899</x:v>
      </x:c>
      <x:c r="D27" s="81" t="n">
        <x:f>B26</x:f>
        <x:v>20022416</x:v>
      </x:c>
      <x:c r="E27" s="82" t="n">
        <x:f>IFERROR(B27/D27-1,"")</x:f>
        <x:v>0.01866338208136331</x:v>
      </x:c>
      <x:c r="F27" s="81" t="n">
        <x:f>B15</x:f>
        <x:v>11775620</x:v>
      </x:c>
      <x:c r="G27" s="82" t="n">
        <x:f>IFERROR(B27/F27-1,"")</x:f>
        <x:v>0.7320618362345253</x:v>
      </x:c>
      <x:c r="H27" s="83" t="b">
        <x:v>0</x:v>
      </x:c>
      <x:c r="I27" s="84" t="str">
        <x:f>IF(H27,"Complete month","Partial month—avoid full-period comparison")</x:f>
        <x:v>Partial month—avoid full-period comparison</x:v>
      </x:c>
    </x:row>
    <x:row r="28">
      <x:c r="A28" s="80" t="n">
        <x:v>41944</x:v>
      </x:c>
      <x:c r="B28" s="81" t="n">
        <x:v>20531636</x:v>
      </x:c>
      <x:c r="C28" s="81" t="n">
        <x:v>71034</x:v>
      </x:c>
      <x:c r="D28" s="81" t="n">
        <x:f>B27</x:f>
        <x:v>20396102</x:v>
      </x:c>
      <x:c r="E28" s="82" t="n">
        <x:f>IFERROR(B28/D28-1,"")</x:f>
        <x:v>0.006645093263408786</x:v>
      </x:c>
      <x:c r="F28" s="81" t="n">
        <x:f>B16</x:f>
        <x:v>12356559</x:v>
      </x:c>
      <x:c r="G28" s="82" t="n">
        <x:f>IFERROR(B28/F28-1,"")</x:f>
        <x:v>0.661598184413638</x:v>
      </x:c>
      <x:c r="H28" s="83" t="b">
        <x:v>0</x:v>
      </x:c>
      <x:c r="I28" s="84" t="str">
        <x:f>IF(H28,"Complete month","Partial month—avoid full-period comparison")</x:f>
        <x:v>Partial month—avoid full-period comparison</x:v>
      </x:c>
    </x:row>
    <x:row r="29">
      <x:c r="A29" s="80" t="n">
        <x:v>41974</x:v>
      </x:c>
      <x:c r="B29" s="81" t="n">
        <x:v>24340454</x:v>
      </x:c>
      <x:c r="C29" s="81" t="n">
        <x:v>91907</x:v>
      </x:c>
      <x:c r="D29" s="81" t="n">
        <x:f>B28</x:f>
        <x:v>20531636</x:v>
      </x:c>
      <x:c r="E29" s="82" t="n">
        <x:f>IFERROR(B29/D29-1,"")</x:f>
        <x:v>0.1855097177838143</x:v>
      </x:c>
      <x:c r="F29" s="81" t="n">
        <x:f>B17</x:f>
        <x:v>15803117</x:v>
      </x:c>
      <x:c r="G29" s="82" t="n">
        <x:f>IFERROR(B29/F29-1,"")</x:f>
        <x:v>0.5402312088178554</x:v>
      </x:c>
      <x:c r="H29" s="83" t="b">
        <x:v>0</x:v>
      </x:c>
      <x:c r="I29" s="84" t="str">
        <x:f>IF(H29,"Complete month","Partial month—avoid full-period comparison")</x:f>
        <x:v>Partial month—avoid full-period comparison</x:v>
      </x:c>
    </x:row>
    <x:row r="30">
      <x:c r="A30" s="80" t="n">
        <x:v>42005</x:v>
      </x:c>
      <x:c r="B30" s="81" t="n">
        <x:v>14896922</x:v>
      </x:c>
      <x:c r="C30" s="81" t="n">
        <x:v>53148</x:v>
      </x:c>
      <x:c r="D30" s="81" t="n">
        <x:f>B29</x:f>
        <x:v>24340454</x:v>
      </x:c>
      <x:c r="E30" s="82" t="n">
        <x:f>IFERROR(B30/D30-1,"")</x:f>
        <x:v>-0.3879768224536815</x:v>
      </x:c>
      <x:c r="F30" s="81" t="n">
        <x:f>B18</x:f>
        <x:v>18911640</x:v>
      </x:c>
      <x:c r="G30" s="82" t="n">
        <x:f>IFERROR(B30/F30-1,"")</x:f>
        <x:v>-0.2122881992254506</x:v>
      </x:c>
      <x:c r="H30" s="83" t="b">
        <x:v>0</x:v>
      </x:c>
      <x:c r="I30" s="84" t="str">
        <x:f>IF(H30,"Complete month","Partial month—avoid full-period comparison")</x:f>
        <x:v>Partial month—avoid full-period comparison</x:v>
      </x:c>
    </x:row>
    <x:row r="31">
      <x:c r="A31" s="80" t="n">
        <x:v>42036</x:v>
      </x:c>
      <x:c r="B31" s="81" t="n">
        <x:v>13742396</x:v>
      </x:c>
      <x:c r="C31" s="81" t="n">
        <x:v>40744</x:v>
      </x:c>
      <x:c r="D31" s="81" t="n">
        <x:f>B30</x:f>
        <x:v>14896922</x:v>
      </x:c>
      <x:c r="E31" s="82" t="n">
        <x:f>IFERROR(B31/D31-1,"")</x:f>
        <x:v>-0.07750097637619369</x:v>
      </x:c>
      <x:c r="F31" s="81" t="n">
        <x:f>B19</x:f>
        <x:v>12038353</x:v>
      </x:c>
      <x:c r="G31" s="82" t="n">
        <x:f>IFERROR(B31/F31-1,"")</x:f>
        <x:v>0.141551173985345</x:v>
      </x:c>
      <x:c r="H31" s="83" t="b">
        <x:v>0</x:v>
      </x:c>
      <x:c r="I31" s="84" t="str">
        <x:f>IF(H31,"Complete month","Partial month—avoid full-period comparison")</x:f>
        <x:v>Partial month—avoid full-period comparison</x:v>
      </x:c>
    </x:row>
    <x:row r="32">
      <x:c r="A32" s="80" t="n">
        <x:v>42064</x:v>
      </x:c>
      <x:c r="B32" s="81" t="n">
        <x:v>15598608</x:v>
      </x:c>
      <x:c r="C32" s="81" t="n">
        <x:v>42360</x:v>
      </x:c>
      <x:c r="D32" s="81" t="n">
        <x:f>B31</x:f>
        <x:v>13742396</x:v>
      </x:c>
      <x:c r="E32" s="82" t="n">
        <x:f>IFERROR(B32/D32-1,"")</x:f>
        <x:v>0.1350719335987698</x:v>
      </x:c>
      <x:c r="F32" s="81" t="n">
        <x:f>B20</x:f>
        <x:v>20365584</x:v>
      </x:c>
      <x:c r="G32" s="82" t="n">
        <x:f>IFERROR(B32/F32-1,"")</x:f>
        <x:v>-0.23407018428737425</x:v>
      </x:c>
      <x:c r="H32" s="83" t="b">
        <x:v>0</x:v>
      </x:c>
      <x:c r="I32" s="84" t="str">
        <x:f>IF(H32,"Complete month","Partial month—avoid full-period comparison")</x:f>
        <x:v>Partial month—avoid full-period comparison</x:v>
      </x:c>
    </x:row>
    <x:row r="33">
      <x:c r="A33" s="80" t="n">
        <x:v>42095</x:v>
      </x:c>
      <x:c r="B33" s="81" t="n">
        <x:v>14955068</x:v>
      </x:c>
      <x:c r="C33" s="81" t="n">
        <x:v>54375</x:v>
      </x:c>
      <x:c r="D33" s="81" t="n">
        <x:f>B32</x:f>
        <x:v>15598608</x:v>
      </x:c>
      <x:c r="E33" s="82" t="n">
        <x:f>IFERROR(B33/D33-1,"")</x:f>
        <x:v>-0.04125624542907935</x:v>
      </x:c>
      <x:c r="F33" s="81" t="n">
        <x:f>B21</x:f>
        <x:v>12861251</x:v>
      </x:c>
      <x:c r="G33" s="82" t="n">
        <x:f>IFERROR(B33/F33-1,"")</x:f>
        <x:v>0.16280041498295938</x:v>
      </x:c>
      <x:c r="H33" s="83" t="b">
        <x:v>0</x:v>
      </x:c>
      <x:c r="I33" s="84" t="str">
        <x:f>IF(H33,"Complete month","Partial month—avoid full-period comparison")</x:f>
        <x:v>Partial month—avoid full-period comparison</x:v>
      </x:c>
    </x:row>
    <x:row r="34">
      <x:c r="A34" s="80" t="n">
        <x:v>42125</x:v>
      </x:c>
      <x:c r="B34" s="81" t="n">
        <x:v>17730368</x:v>
      </x:c>
      <x:c r="C34" s="81" t="n">
        <x:v>62882</x:v>
      </x:c>
      <x:c r="D34" s="81" t="n">
        <x:f>B33</x:f>
        <x:v>14955068</x:v>
      </x:c>
      <x:c r="E34" s="82" t="n">
        <x:f>IFERROR(B34/D34-1,"")</x:f>
        <x:v>0.1855758863817938</x:v>
      </x:c>
      <x:c r="F34" s="81" t="n">
        <x:f>B22</x:f>
        <x:v>13379785</x:v>
      </x:c>
      <x:c r="G34" s="82" t="n">
        <x:f>IFERROR(B34/F34-1,"")</x:f>
        <x:v>0.3251609050519122</x:v>
      </x:c>
      <x:c r="H34" s="83" t="b">
        <x:v>0</x:v>
      </x:c>
      <x:c r="I34" s="84" t="str">
        <x:f>IF(H34,"Complete month","Partial month—avoid full-period comparison")</x:f>
        <x:v>Partial month—avoid full-period comparison</x:v>
      </x:c>
    </x:row>
    <x:row r="35">
      <x:c r="A35" s="80" t="n">
        <x:v>42156</x:v>
      </x:c>
      <x:c r="B35" s="81" t="n">
        <x:v>21615360</x:v>
      </x:c>
      <x:c r="C35" s="81" t="n">
        <x:v>97827</x:v>
      </x:c>
      <x:c r="D35" s="81" t="n">
        <x:f>B34</x:f>
        <x:v>17730368</x:v>
      </x:c>
      <x:c r="E35" s="82" t="n">
        <x:f>IFERROR(B35/D35-1,"")</x:f>
        <x:v>0.21911513624533896</x:v>
      </x:c>
      <x:c r="F35" s="81" t="n">
        <x:f>B23</x:f>
        <x:v>13319958</x:v>
      </x:c>
      <x:c r="G35" s="82" t="n">
        <x:f>IFERROR(B35/F35-1,"")</x:f>
        <x:v>0.6227798916483069</x:v>
      </x:c>
      <x:c r="H35" s="83" t="b">
        <x:v>0</x:v>
      </x:c>
      <x:c r="I35" s="84" t="str">
        <x:f>IF(H35,"Complete month","Partial month—avoid full-period comparison")</x:f>
        <x:v>Partial month—avoid full-period comparison</x:v>
      </x:c>
    </x:row>
    <x:row r="36">
      <x:c r="A36" s="80" t="n">
        <x:v>42186</x:v>
      </x:c>
      <x:c r="B36" s="81" t="n">
        <x:v>22209620</x:v>
      </x:c>
      <x:c r="C36" s="81" t="n">
        <x:v>112742</x:v>
      </x:c>
      <x:c r="D36" s="81" t="n">
        <x:f>B35</x:f>
        <x:v>21615360</x:v>
      </x:c>
      <x:c r="E36" s="82" t="n">
        <x:f>IFERROR(B36/D36-1,"")</x:f>
        <x:v>0.02749248682418437</x:v>
      </x:c>
      <x:c r="F36" s="81" t="n">
        <x:f>B24</x:f>
        <x:v>19421892</x:v>
      </x:c>
      <x:c r="G36" s="82" t="n">
        <x:f>IFERROR(B36/F36-1,"")</x:f>
        <x:v>0.14353534660783818</x:v>
      </x:c>
      <x:c r="H36" s="83" t="b">
        <x:v>0</x:v>
      </x:c>
      <x:c r="I36" s="84" t="str">
        <x:f>IF(H36,"Complete month","Partial month—avoid full-period comparison")</x:f>
        <x:v>Partial month—avoid full-period comparison</x:v>
      </x:c>
    </x:row>
    <x:row r="37">
      <x:c r="A37" s="80" t="n">
        <x:v>42217</x:v>
      </x:c>
      <x:c r="B37" s="81" t="n">
        <x:v>22963674</x:v>
      </x:c>
      <x:c r="C37" s="81" t="n">
        <x:v>105614</x:v>
      </x:c>
      <x:c r="D37" s="81" t="n">
        <x:f>B36</x:f>
        <x:v>22209620</x:v>
      </x:c>
      <x:c r="E37" s="82" t="n">
        <x:f>IFERROR(B37/D37-1,"")</x:f>
        <x:v>0.033951683999996485</x:v>
      </x:c>
      <x:c r="F37" s="81" t="n">
        <x:f>B25</x:f>
        <x:v>13885176</x:v>
      </x:c>
      <x:c r="G37" s="82" t="n">
        <x:f>IFERROR(B37/F37-1,"")</x:f>
        <x:v>0.6538266421685976</x:v>
      </x:c>
      <x:c r="H37" s="83" t="b">
        <x:v>0</x:v>
      </x:c>
      <x:c r="I37" s="84" t="str">
        <x:f>IF(H37,"Complete month","Partial month—avoid full-period comparison")</x:f>
        <x:v>Partial month—avoid full-period comparison</x:v>
      </x:c>
    </x:row>
    <x:row r="38">
      <x:c r="A38" s="80" t="n">
        <x:v>42248</x:v>
      </x:c>
      <x:c r="B38" s="81" t="n">
        <x:v>23240882</x:v>
      </x:c>
      <x:c r="C38" s="81" t="n">
        <x:v>140873</x:v>
      </x:c>
      <x:c r="D38" s="81" t="n">
        <x:f>B37</x:f>
        <x:v>22963674</x:v>
      </x:c>
      <x:c r="E38" s="82" t="n">
        <x:f>IFERROR(B38/D38-1,"")</x:f>
        <x:v>0.012071587499456804</x:v>
      </x:c>
      <x:c r="F38" s="81" t="n">
        <x:f>B26</x:f>
        <x:v>20022416</x:v>
      </x:c>
      <x:c r="G38" s="82" t="n">
        <x:f>IFERROR(B38/F38-1,"")</x:f>
        <x:v>0.16074313908970828</x:v>
      </x:c>
      <x:c r="H38" s="83" t="b">
        <x:v>0</x:v>
      </x:c>
      <x:c r="I38" s="84" t="str">
        <x:f>IF(H38,"Complete month","Partial month—avoid full-period comparison")</x:f>
        <x:v>Partial month—avoid full-period comparison</x:v>
      </x:c>
    </x:row>
    <x:row r="39">
      <x:c r="A39" s="80" t="n">
        <x:v>42278</x:v>
      </x:c>
      <x:c r="B39" s="81" t="n">
        <x:v>23878268</x:v>
      </x:c>
      <x:c r="C39" s="81" t="n">
        <x:v>115220</x:v>
      </x:c>
      <x:c r="D39" s="81" t="n">
        <x:f>B38</x:f>
        <x:v>23240882</x:v>
      </x:c>
      <x:c r="E39" s="82" t="n">
        <x:f>IFERROR(B39/D39-1,"")</x:f>
        <x:v>0.02742520701236728</x:v>
      </x:c>
      <x:c r="F39" s="81" t="n">
        <x:f>B27</x:f>
        <x:v>20396102</x:v>
      </x:c>
      <x:c r="G39" s="82" t="n">
        <x:f>IFERROR(B39/F39-1,"")</x:f>
        <x:v>0.17072703401855893</x:v>
      </x:c>
      <x:c r="H39" s="83" t="b">
        <x:v>0</x:v>
      </x:c>
      <x:c r="I39" s="84" t="str">
        <x:f>IF(H39,"Complete month","Partial month—avoid full-period comparison")</x:f>
        <x:v>Partial month—avoid full-period comparison</x:v>
      </x:c>
    </x:row>
    <x:row r="40">
      <x:c r="A40" s="80" t="n">
        <x:v>42309</x:v>
      </x:c>
      <x:c r="B40" s="81" t="n">
        <x:v>22804954</x:v>
      </x:c>
      <x:c r="C40" s="81" t="n">
        <x:v>128497</x:v>
      </x:c>
      <x:c r="D40" s="81" t="n">
        <x:f>B39</x:f>
        <x:v>23878268</x:v>
      </x:c>
      <x:c r="E40" s="82" t="n">
        <x:f>IFERROR(B40/D40-1,"")</x:f>
        <x:v>-0.0449494075533452</x:v>
      </x:c>
      <x:c r="F40" s="81" t="n">
        <x:f>B28</x:f>
        <x:v>20531636</x:v>
      </x:c>
      <x:c r="G40" s="82" t="n">
        <x:f>IFERROR(B40/F40-1,"")</x:f>
        <x:v>0.11072269155755543</x:v>
      </x:c>
      <x:c r="H40" s="83" t="b">
        <x:v>0</x:v>
      </x:c>
      <x:c r="I40" s="84" t="str">
        <x:f>IF(H40,"Complete month","Partial month—avoid full-period comparison")</x:f>
        <x:v>Partial month—avoid full-period comparison</x:v>
      </x:c>
    </x:row>
    <x:row r="41">
      <x:c r="A41" s="80" t="n">
        <x:v>42339</x:v>
      </x:c>
      <x:c r="B41" s="81" t="n">
        <x:v>27243982</x:v>
      </x:c>
      <x:c r="C41" s="81" t="n">
        <x:v>132993</x:v>
      </x:c>
      <x:c r="D41" s="81" t="n">
        <x:f>B40</x:f>
        <x:v>22804954</x:v>
      </x:c>
      <x:c r="E41" s="82" t="n">
        <x:f>IFERROR(B41/D41-1,"")</x:f>
        <x:v>0.19465191642131785</x:v>
      </x:c>
      <x:c r="F41" s="81" t="n">
        <x:f>B29</x:f>
        <x:v>24340454</x:v>
      </x:c>
      <x:c r="G41" s="82" t="n">
        <x:f>IFERROR(B41/F41-1,"")</x:f>
        <x:v>0.1192881611822032</x:v>
      </x:c>
      <x:c r="H41" s="83" t="b">
        <x:v>0</x:v>
      </x:c>
      <x:c r="I41" s="84" t="str">
        <x:f>IF(H41,"Complete month","Partial month—avoid full-period comparison")</x:f>
        <x:v>Partial month—avoid full-period comparison</x:v>
      </x:c>
    </x:row>
    <x:row r="42">
      <x:c r="A42" s="80" t="n">
        <x:v>42370</x:v>
      </x:c>
      <x:c r="B42" s="81" t="n">
        <x:v>23977804</x:v>
      </x:c>
      <x:c r="C42" s="81" t="n">
        <x:v>119578</x:v>
      </x:c>
      <x:c r="D42" s="81" t="n">
        <x:f>B41</x:f>
        <x:v>27243982</x:v>
      </x:c>
      <x:c r="E42" s="82" t="n">
        <x:f>IFERROR(B42/D42-1,"")</x:f>
        <x:v>-0.11988621927587528</x:v>
      </x:c>
      <x:c r="F42" s="81" t="n">
        <x:f>B30</x:f>
        <x:v>14896922</x:v>
      </x:c>
      <x:c r="G42" s="82" t="n">
        <x:f>IFERROR(B42/F42-1,"")</x:f>
        <x:v>0.6095810933292125</x:v>
      </x:c>
      <x:c r="H42" s="83" t="b">
        <x:v>0</x:v>
      </x:c>
      <x:c r="I42" s="84" t="str">
        <x:f>IF(H42,"Complete month","Partial month—avoid full-period comparison")</x:f>
        <x:v>Partial month—avoid full-period comparison</x:v>
      </x:c>
    </x:row>
    <x:row r="43">
      <x:c r="A43" s="80" t="n">
        <x:v>42401</x:v>
      </x:c>
      <x:c r="B43" s="81" t="n">
        <x:v>21947408</x:v>
      </x:c>
      <x:c r="C43" s="81" t="n">
        <x:v>183541</x:v>
      </x:c>
      <x:c r="D43" s="81" t="n">
        <x:f>B42</x:f>
        <x:v>23977804</x:v>
      </x:c>
      <x:c r="E43" s="82" t="n">
        <x:f>IFERROR(B43/D43-1,"")</x:f>
        <x:v>-0.08467814650582683</x:v>
      </x:c>
      <x:c r="F43" s="81" t="n">
        <x:f>B31</x:f>
        <x:v>13742396</x:v>
      </x:c>
      <x:c r="G43" s="82" t="n">
        <x:f>IFERROR(B43/F43-1,"")</x:f>
        <x:v>0.5970583295664016</x:v>
      </x:c>
      <x:c r="H43" s="83" t="b">
        <x:v>0</x:v>
      </x:c>
      <x:c r="I43" s="84" t="str">
        <x:f>IF(H43,"Complete month","Partial month—avoid full-period comparison")</x:f>
        <x:v>Partial month—avoid full-period comparison</x:v>
      </x:c>
    </x:row>
    <x:row r="44">
      <x:c r="A44" s="80" t="n">
        <x:v>42430</x:v>
      </x:c>
      <x:c r="B44" s="81" t="n">
        <x:v>23131780</x:v>
      </x:c>
      <x:c r="C44" s="81" t="n">
        <x:v>181790</x:v>
      </x:c>
      <x:c r="D44" s="81" t="n">
        <x:f>B43</x:f>
        <x:v>21947408</x:v>
      </x:c>
      <x:c r="E44" s="82" t="n">
        <x:f>IFERROR(B44/D44-1,"")</x:f>
        <x:v>0.05396409452997819</x:v>
      </x:c>
      <x:c r="F44" s="81" t="n">
        <x:f>B32</x:f>
        <x:v>15598608</x:v>
      </x:c>
      <x:c r="G44" s="82" t="n">
        <x:f>IFERROR(B44/F44-1,"")</x:f>
        <x:v>0.482938734020369</x:v>
      </x:c>
      <x:c r="H44" s="83" t="b">
        <x:v>0</x:v>
      </x:c>
      <x:c r="I44" s="84" t="str">
        <x:f>IF(H44,"Complete month","Partial month—avoid full-period comparison")</x:f>
        <x:v>Partial month—avoid full-period comparison</x:v>
      </x:c>
    </x:row>
    <x:row r="45">
      <x:c r="A45" s="80" t="n">
        <x:v>42461</x:v>
      </x:c>
      <x:c r="B45" s="81" t="n">
        <x:v>25963026</x:v>
      </x:c>
      <x:c r="C45" s="81" t="n">
        <x:v>215312</x:v>
      </x:c>
      <x:c r="D45" s="81" t="n">
        <x:f>B44</x:f>
        <x:v>23131780</x:v>
      </x:c>
      <x:c r="E45" s="82" t="n">
        <x:f>IFERROR(B45/D45-1,"")</x:f>
        <x:v>0.1223963741657581</x:v>
      </x:c>
      <x:c r="F45" s="81" t="n">
        <x:f>B33</x:f>
        <x:v>14955068</x:v>
      </x:c>
      <x:c r="G45" s="82" t="n">
        <x:f>IFERROR(B45/F45-1,"")</x:f>
        <x:v>0.7360687360298195</x:v>
      </x:c>
      <x:c r="H45" s="83" t="b">
        <x:v>0</x:v>
      </x:c>
      <x:c r="I45" s="84" t="str">
        <x:f>IF(H45,"Complete month","Partial month—avoid full-period comparison")</x:f>
        <x:v>Partial month—avoid full-period comparison</x:v>
      </x:c>
    </x:row>
    <x:row r="46">
      <x:c r="A46" s="80" t="n">
        <x:v>42491</x:v>
      </x:c>
      <x:c r="B46" s="81" t="n">
        <x:v>24779432</x:v>
      </x:c>
      <x:c r="C46" s="81" t="n">
        <x:v>370019</x:v>
      </x:c>
      <x:c r="D46" s="81" t="n">
        <x:f>B45</x:f>
        <x:v>25963026</x:v>
      </x:c>
      <x:c r="E46" s="82" t="n">
        <x:f>IFERROR(B46/D46-1,"")</x:f>
        <x:v>-0.0455876753349167</x:v>
      </x:c>
      <x:c r="F46" s="81" t="n">
        <x:f>B34</x:f>
        <x:v>17730368</x:v>
      </x:c>
      <x:c r="G46" s="82" t="n">
        <x:f>IFERROR(B46/F46-1,"")</x:f>
        <x:v>0.39757008991578746</x:v>
      </x:c>
      <x:c r="H46" s="83" t="b">
        <x:v>0</x:v>
      </x:c>
      <x:c r="I46" s="84" t="str">
        <x:f>IF(H46,"Complete month","Partial month—avoid full-period comparison")</x:f>
        <x:v>Partial month—avoid full-period comparison</x:v>
      </x:c>
    </x:row>
    <x:row r="47">
      <x:c r="A47" s="80" t="n">
        <x:v>42522</x:v>
      </x:c>
      <x:c r="B47" s="81" t="n">
        <x:v>22209218</x:v>
      </x:c>
      <x:c r="C47" s="81" t="n">
        <x:v>285416</x:v>
      </x:c>
      <x:c r="D47" s="81" t="n">
        <x:f>B46</x:f>
        <x:v>24779432</x:v>
      </x:c>
      <x:c r="E47" s="82" t="n">
        <x:f>IFERROR(B47/D47-1,"")</x:f>
        <x:v>-0.10372368503039131</x:v>
      </x:c>
      <x:c r="F47" s="81" t="n">
        <x:f>B35</x:f>
        <x:v>21615360</x:v>
      </x:c>
      <x:c r="G47" s="82" t="n">
        <x:f>IFERROR(B47/F47-1,"")</x:f>
        <x:v>0.027473888938236435</x:v>
      </x:c>
      <x:c r="H47" s="83" t="b">
        <x:v>0</x:v>
      </x:c>
      <x:c r="I47" s="84" t="str">
        <x:f>IF(H47,"Complete month","Partial month—avoid full-period comparison")</x:f>
        <x:v>Partial month—avoid full-period comparison</x:v>
      </x:c>
    </x:row>
    <x:row r="48">
      <x:c r="A48" s="80" t="n">
        <x:v>42552</x:v>
      </x:c>
      <x:c r="B48" s="81" t="n">
        <x:v>23462672</x:v>
      </x:c>
      <x:c r="C48" s="81" t="n">
        <x:v>264605</x:v>
      </x:c>
      <x:c r="D48" s="81" t="n">
        <x:f>B47</x:f>
        <x:v>22209218</x:v>
      </x:c>
      <x:c r="E48" s="82" t="n">
        <x:f>IFERROR(B48/D48-1,"")</x:f>
        <x:v>0.056438457220781</x:v>
      </x:c>
      <x:c r="F48" s="81" t="n">
        <x:f>B36</x:f>
        <x:v>22209620</x:v>
      </x:c>
      <x:c r="G48" s="82" t="n">
        <x:f>IFERROR(B48/F48-1,"")</x:f>
        <x:v>0.05641933540510813</x:v>
      </x:c>
      <x:c r="H48" s="83" t="b">
        <x:v>0</x:v>
      </x:c>
      <x:c r="I48" s="84" t="str">
        <x:f>IF(H48,"Complete month","Partial month—avoid full-period comparison")</x:f>
        <x:v>Partial month—avoid full-period comparison</x:v>
      </x:c>
    </x:row>
    <x:row r="49">
      <x:c r="A49" s="80" t="n">
        <x:v>42583</x:v>
      </x:c>
      <x:c r="B49" s="81" t="n">
        <x:v>22452414</x:v>
      </x:c>
      <x:c r="C49" s="81" t="n">
        <x:v>271592</x:v>
      </x:c>
      <x:c r="D49" s="81" t="n">
        <x:f>B48</x:f>
        <x:v>23462672</x:v>
      </x:c>
      <x:c r="E49" s="82" t="n">
        <x:f>IFERROR(B49/D49-1,"")</x:f>
        <x:v>-0.0430580967078259</x:v>
      </x:c>
      <x:c r="F49" s="81" t="n">
        <x:f>B37</x:f>
        <x:v>22963674</x:v>
      </x:c>
      <x:c r="G49" s="82" t="n">
        <x:f>IFERROR(B49/F49-1,"")</x:f>
        <x:v>-0.02226385899747574</x:v>
      </x:c>
      <x:c r="H49" s="83" t="b">
        <x:v>0</x:v>
      </x:c>
      <x:c r="I49" s="84" t="str">
        <x:f>IF(H49,"Complete month","Partial month—avoid full-period comparison")</x:f>
        <x:v>Partial month—avoid full-period comparison</x:v>
      </x:c>
    </x:row>
    <x:row r="50">
      <x:c r="A50" s="80" t="n">
        <x:v>42614</x:v>
      </x:c>
      <x:c r="B50" s="81" t="n">
        <x:v>22417448</x:v>
      </x:c>
      <x:c r="C50" s="81" t="n">
        <x:v>296361</x:v>
      </x:c>
      <x:c r="D50" s="81" t="n">
        <x:f>B49</x:f>
        <x:v>22452414</x:v>
      </x:c>
      <x:c r="E50" s="82" t="n">
        <x:f>IFERROR(B50/D50-1,"")</x:f>
        <x:v>-0.0015573381107261142</x:v>
      </x:c>
      <x:c r="F50" s="81" t="n">
        <x:f>B38</x:f>
        <x:v>23240882</x:v>
      </x:c>
      <x:c r="G50" s="82" t="n">
        <x:f>IFERROR(B50/F50-1,"")</x:f>
        <x:v>-0.03543041094567756</x:v>
      </x:c>
      <x:c r="H50" s="83" t="b">
        <x:v>0</x:v>
      </x:c>
      <x:c r="I50" s="84" t="str">
        <x:f>IF(H50,"Complete month","Partial month—avoid full-period comparison")</x:f>
        <x:v>Partial month—avoid full-period comparison</x:v>
      </x:c>
    </x:row>
    <x:row r="51">
      <x:c r="A51" s="80" t="n">
        <x:v>42644</x:v>
      </x:c>
      <x:c r="B51" s="81" t="n">
        <x:v>24030390</x:v>
      </x:c>
      <x:c r="C51" s="81" t="n">
        <x:v>370514</x:v>
      </x:c>
      <x:c r="D51" s="81" t="n">
        <x:f>B50</x:f>
        <x:v>22417448</x:v>
      </x:c>
      <x:c r="E51" s="82" t="n">
        <x:f>IFERROR(B51/D51-1,"")</x:f>
        <x:v>0.07195029514510298</x:v>
      </x:c>
      <x:c r="F51" s="81" t="n">
        <x:f>B39</x:f>
        <x:v>23878268</x:v>
      </x:c>
      <x:c r="G51" s="82" t="n">
        <x:f>IFERROR(B51/F51-1,"")</x:f>
        <x:v>0.0063707300713771176</x:v>
      </x:c>
      <x:c r="H51" s="83" t="b">
        <x:v>0</x:v>
      </x:c>
      <x:c r="I51" s="84" t="str">
        <x:f>IF(H51,"Complete month","Partial month—avoid full-period comparison")</x:f>
        <x:v>Partial month—avoid full-period comparison</x:v>
      </x:c>
    </x:row>
    <x:row r="52">
      <x:c r="A52" s="80" t="n">
        <x:v>42675</x:v>
      </x:c>
      <x:c r="B52" s="81" t="n">
        <x:v>24642640</x:v>
      </x:c>
      <x:c r="C52" s="81" t="n">
        <x:v>438358</x:v>
      </x:c>
      <x:c r="D52" s="81" t="n">
        <x:f>B51</x:f>
        <x:v>24030390</x:v>
      </x:c>
      <x:c r="E52" s="82" t="n">
        <x:f>IFERROR(B52/D52-1,"")</x:f>
        <x:v>0.025478154952957466</x:v>
      </x:c>
      <x:c r="F52" s="81" t="n">
        <x:f>B40</x:f>
        <x:v>22804954</x:v>
      </x:c>
      <x:c r="G52" s="82" t="n">
        <x:f>IFERROR(B52/F52-1,"")</x:f>
        <x:v>0.08058275408053883</x:v>
      </x:c>
      <x:c r="H52" s="83" t="b">
        <x:v>0</x:v>
      </x:c>
      <x:c r="I52" s="84" t="str">
        <x:f>IF(H52,"Complete month","Partial month—avoid full-period comparison")</x:f>
        <x:v>Partial month—avoid full-period comparison</x:v>
      </x:c>
    </x:row>
    <x:row r="53">
      <x:c r="A53" s="80" t="n">
        <x:v>42705</x:v>
      </x:c>
      <x:c r="B53" s="81" t="n">
        <x:v>29640288</x:v>
      </x:c>
      <x:c r="C53" s="81" t="n">
        <x:v>517498</x:v>
      </x:c>
      <x:c r="D53" s="81" t="n">
        <x:f>B52</x:f>
        <x:v>24642640</x:v>
      </x:c>
      <x:c r="E53" s="82" t="n">
        <x:f>IFERROR(B53/D53-1,"")</x:f>
        <x:v>0.2028048942808076</x:v>
      </x:c>
      <x:c r="F53" s="81" t="n">
        <x:f>B41</x:f>
        <x:v>27243982</x:v>
      </x:c>
      <x:c r="G53" s="82" t="n">
        <x:f>IFERROR(B53/F53-1,"")</x:f>
        <x:v>0.08795725969867396</x:v>
      </x:c>
      <x:c r="H53" s="83" t="b">
        <x:v>0</x:v>
      </x:c>
      <x:c r="I53" s="84" t="str">
        <x:f>IF(H53,"Complete month","Partial month—avoid full-period comparison")</x:f>
        <x:v>Partial month—avoid full-period comparison</x:v>
      </x:c>
    </x:row>
    <x:row r="54">
      <x:c r="A54" s="80" t="n">
        <x:v>42736</x:v>
      </x:c>
      <x:c r="B54" s="81" t="n">
        <x:v>26328160</x:v>
      </x:c>
      <x:c r="C54" s="81" t="n">
        <x:v>363428</x:v>
      </x:c>
      <x:c r="D54" s="81" t="n">
        <x:f>B53</x:f>
        <x:v>29640288</x:v>
      </x:c>
      <x:c r="E54" s="82" t="n">
        <x:f>IFERROR(B54/D54-1,"")</x:f>
        <x:v>-0.11174412340392914</x:v>
      </x:c>
      <x:c r="F54" s="81" t="n">
        <x:f>B42</x:f>
        <x:v>23977804</x:v>
      </x:c>
      <x:c r="G54" s="82" t="n">
        <x:f>IFERROR(B54/F54-1,"")</x:f>
        <x:v>0.09802215415556814</x:v>
      </x:c>
      <x:c r="H54" s="83" t="b">
        <x:v>0</x:v>
      </x:c>
      <x:c r="I54" s="84" t="str">
        <x:f>IF(H54,"Complete month","Partial month—avoid full-period comparison")</x:f>
        <x:v>Partial month—avoid full-period comparison</x:v>
      </x:c>
    </x:row>
    <x:row r="55">
      <x:c r="A55" s="80" t="n">
        <x:v>42767</x:v>
      </x:c>
      <x:c r="B55" s="81" t="n">
        <x:v>23250112</x:v>
      </x:c>
      <x:c r="C55" s="81" t="n">
        <x:v>297254</x:v>
      </x:c>
      <x:c r="D55" s="81" t="n">
        <x:f>B54</x:f>
        <x:v>26328160</x:v>
      </x:c>
      <x:c r="E55" s="82" t="n">
        <x:f>IFERROR(B55/D55-1,"")</x:f>
        <x:v>-0.11691086653985694</x:v>
      </x:c>
      <x:c r="F55" s="81" t="n">
        <x:f>B43</x:f>
        <x:v>21947408</x:v>
      </x:c>
      <x:c r="G55" s="82" t="n">
        <x:f>IFERROR(B55/F55-1,"")</x:f>
        <x:v>0.059355710706248344</x:v>
      </x:c>
      <x:c r="H55" s="83" t="b">
        <x:v>0</x:v>
      </x:c>
      <x:c r="I55" s="84" t="str">
        <x:f>IF(H55,"Complete month","Partial month—avoid full-period comparison")</x:f>
        <x:v>Partial month—avoid full-period comparison</x:v>
      </x:c>
    </x:row>
    <x:row r="56">
      <x:c r="A56" s="80" t="n">
        <x:v>42795</x:v>
      </x:c>
      <x:c r="B56" s="81" t="n">
        <x:v>26704018</x:v>
      </x:c>
      <x:c r="C56" s="81" t="n">
        <x:v>339291</x:v>
      </x:c>
      <x:c r="D56" s="81" t="n">
        <x:f>B55</x:f>
        <x:v>23250112</x:v>
      </x:c>
      <x:c r="E56" s="82" t="n">
        <x:f>IFERROR(B56/D56-1,"")</x:f>
        <x:v>0.14855438115738973</x:v>
      </x:c>
      <x:c r="F56" s="81" t="n">
        <x:f>B44</x:f>
        <x:v>23131780</x:v>
      </x:c>
      <x:c r="G56" s="82" t="n">
        <x:f>IFERROR(B56/F56-1,"")</x:f>
        <x:v>0.15442987958557453</x:v>
      </x:c>
      <x:c r="H56" s="83" t="b">
        <x:v>0</x:v>
      </x:c>
      <x:c r="I56" s="84" t="str">
        <x:f>IF(H56,"Complete month","Partial month—avoid full-period comparison")</x:f>
        <x:v>Partial month—avoid full-period comparison</x:v>
      </x:c>
    </x:row>
    <x:row r="57">
      <x:c r="A57" s="80" t="n">
        <x:v>42826</x:v>
      </x:c>
      <x:c r="B57" s="81" t="n">
        <x:v>25895308</x:v>
      </x:c>
      <x:c r="C57" s="81" t="n">
        <x:v>371042</x:v>
      </x:c>
      <x:c r="D57" s="81" t="n">
        <x:f>B56</x:f>
        <x:v>26704018</x:v>
      </x:c>
      <x:c r="E57" s="82" t="n">
        <x:f>IFERROR(B57/D57-1,"")</x:f>
        <x:v>-0.030284206668824143</x:v>
      </x:c>
      <x:c r="F57" s="81" t="n">
        <x:f>B45</x:f>
        <x:v>25963026</x:v>
      </x:c>
      <x:c r="G57" s="82" t="n">
        <x:f>IFERROR(B57/F57-1,"")</x:f>
        <x:v>-0.0026082475902462487</x:v>
      </x:c>
      <x:c r="H57" s="83" t="b">
        <x:v>0</x:v>
      </x:c>
      <x:c r="I57" s="84" t="str">
        <x:f>IF(H57,"Complete month","Partial month—avoid full-period comparison")</x:f>
        <x:v>Partial month—avoid full-period comparison</x:v>
      </x:c>
    </x:row>
    <x:row r="58">
      <x:c r="A58" s="80" t="n">
        <x:v>42856</x:v>
      </x:c>
      <x:c r="B58" s="81" t="n">
        <x:v>26911848</x:v>
      </x:c>
      <x:c r="C58" s="81" t="n">
        <x:v>414646</x:v>
      </x:c>
      <x:c r="D58" s="81" t="n">
        <x:f>B57</x:f>
        <x:v>25895308</x:v>
      </x:c>
      <x:c r="E58" s="82" t="n">
        <x:f>IFERROR(B58/D58-1,"")</x:f>
        <x:v>0.039255760155469055</x:v>
      </x:c>
      <x:c r="F58" s="81" t="n">
        <x:f>B46</x:f>
        <x:v>24779432</x:v>
      </x:c>
      <x:c r="G58" s="82" t="n">
        <x:f>IFERROR(B58/F58-1,"")</x:f>
        <x:v>0.08605588699531119</x:v>
      </x:c>
      <x:c r="H58" s="83" t="b">
        <x:v>0</x:v>
      </x:c>
      <x:c r="I58" s="84" t="str">
        <x:f>IF(H58,"Complete month","Partial month—avoid full-period comparison")</x:f>
        <x:v>Partial month—avoid full-period comparison</x:v>
      </x:c>
    </x:row>
    <x:row r="59">
      <x:c r="A59" s="80" t="n">
        <x:v>42887</x:v>
      </x:c>
      <x:c r="B59" s="81" t="n">
        <x:v>25682822</x:v>
      </x:c>
      <x:c r="C59" s="81" t="n">
        <x:v>394582</x:v>
      </x:c>
      <x:c r="D59" s="81" t="n">
        <x:f>B58</x:f>
        <x:v>26911848</x:v>
      </x:c>
      <x:c r="E59" s="82" t="n">
        <x:f>IFERROR(B59/D59-1,"")</x:f>
        <x:v>-0.04566858433504828</x:v>
      </x:c>
      <x:c r="F59" s="81" t="n">
        <x:f>B47</x:f>
        <x:v>22209218</x:v>
      </x:c>
      <x:c r="G59" s="82" t="n">
        <x:f>IFERROR(B59/F59-1,"")</x:f>
        <x:v>0.15640370588464658</x:v>
      </x:c>
      <x:c r="H59" s="83" t="b">
        <x:v>0</x:v>
      </x:c>
      <x:c r="I59" s="84" t="str">
        <x:f>IF(H59,"Complete month","Partial month—avoid full-period comparison")</x:f>
        <x:v>Partial month—avoid full-period comparison</x:v>
      </x:c>
    </x:row>
    <x:row r="60">
      <x:c r="A60" s="80" t="n">
        <x:v>42917</x:v>
      </x:c>
      <x:c r="B60" s="81" t="n">
        <x:v>27011478</x:v>
      </x:c>
      <x:c r="C60" s="81" t="n">
        <x:v>409128</x:v>
      </x:c>
      <x:c r="D60" s="81" t="n">
        <x:f>B59</x:f>
        <x:v>25682822</x:v>
      </x:c>
      <x:c r="E60" s="82" t="n">
        <x:f>IFERROR(B60/D60-1,"")</x:f>
        <x:v>0.05173325579252941</x:v>
      </x:c>
      <x:c r="F60" s="81" t="n">
        <x:f>B48</x:f>
        <x:v>23462672</x:v>
      </x:c>
      <x:c r="G60" s="82" t="n">
        <x:f>IFERROR(B60/F60-1,"")</x:f>
        <x:v>0.15125327584172843</x:v>
      </x:c>
      <x:c r="H60" s="83" t="b">
        <x:v>0</x:v>
      </x:c>
      <x:c r="I60" s="84" t="str">
        <x:f>IF(H60,"Complete month","Partial month—avoid full-period comparison")</x:f>
        <x:v>Partial month—avoid full-period comparison</x:v>
      </x:c>
    </x:row>
    <x:row r="61">
      <x:c r="A61" s="85" t="n">
        <x:v>42948</x:v>
      </x:c>
      <x:c r="B61" s="86" t="n">
        <x:v>12433323</x:v>
      </x:c>
      <x:c r="C61" s="86" t="n">
        <x:v>160278</x:v>
      </x:c>
      <x:c r="D61" s="86" t="n">
        <x:f>B60</x:f>
        <x:v>27011478</x:v>
      </x:c>
      <x:c r="E61" s="87" t="n">
        <x:f>IFERROR(B61/D61-1,"")</x:f>
        <x:v>-0.5397022332506203</x:v>
      </x:c>
      <x:c r="F61" s="86" t="n">
        <x:f>B49</x:f>
        <x:v>22452414</x:v>
      </x:c>
      <x:c r="G61" s="87" t="n">
        <x:f>IFERROR(B61/F61-1,"")</x:f>
        <x:v>-0.4462366941924374</x:v>
      </x:c>
      <x:c r="H61" s="88" t="b">
        <x:v>0</x:v>
      </x:c>
      <x:c r="I61" s="89" t="str">
        <x:f>IF(H61,"Complete month","Partial month—avoid full-period comparison")</x:f>
        <x:v>Partial month—avoid full-period comparison</x:v>
      </x:c>
    </x:row>
  </x:sheetData>
  <x:mergeCells>
    <x:mergeCell ref="A1:I2"/>
    <x:mergeCell ref="A3:I3"/>
  </x:mergeCells>
  <x:conditionalFormatting sqref="G6:G61">
    <x:cfRule type="colorScale" priority="1">
      <x:colorScale>
        <x:cfvo type="min"/>
        <x:cfvo type="percentile" val="50"/>
        <x:cfvo type="max"/>
        <x:color rgb="FFF8CBC3"/>
        <x:color rgb="FFFFF2CC"/>
        <x:color rgb="FFC6E0B4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59" t="str">
        <x:v>Quarterly Performance</x:v>
      </x:c>
      <x:c r="B1" s="59"/>
      <x:c r="C1" s="59"/>
      <x:c r="D1" s="59"/>
    </x:row>
    <x:row r="2">
      <x:c r="A2" s="59"/>
      <x:c r="B2" s="59"/>
      <x:c r="C2" s="59"/>
      <x:c r="D2" s="59"/>
    </x:row>
    <x:row r="3" ht="28" customHeight="1">
      <x:c r="A3" s="60" t="str">
        <x:v>Observed historical performance by calendar quarter</x:v>
      </x:c>
      <x:c r="B3" s="60"/>
      <x:c r="C3" s="60"/>
      <x:c r="D3" s="60"/>
    </x:row>
    <x:row r="4">
      <x:c r="A4" s="61"/>
      <x:c r="B4" s="61"/>
      <x:c r="C4" s="61"/>
      <x:c r="D4" s="61"/>
    </x:row>
    <x:row r="5">
      <x:c r="A5" s="73" t="str">
        <x:v>year</x:v>
      </x:c>
      <x:c r="B5" s="74" t="str">
        <x:v>quarter</x:v>
      </x:c>
      <x:c r="C5" s="74" t="str">
        <x:v>unit_sales</x:v>
      </x:c>
      <x:c r="D5" s="75" t="str">
        <x:v>promotion_units</x:v>
      </x:c>
    </x:row>
    <x:row r="6">
      <x:c r="A6" s="61" t="n">
        <x:v>2013</x:v>
      </x:c>
      <x:c r="B6" s="61" t="str">
        <x:v>Q1</x:v>
      </x:c>
      <x:c r="C6" s="76" t="n">
        <x:v>31415082</x:v>
      </x:c>
      <x:c r="D6" s="76" t="n">
        <x:v>0</x:v>
      </x:c>
    </x:row>
    <x:row r="7">
      <x:c r="A7" s="61" t="n">
        <x:v>2013</x:v>
      </x:c>
      <x:c r="B7" s="61" t="str">
        <x:v>Q2</x:v>
      </x:c>
      <x:c r="C7" s="76" t="n">
        <x:v>34280510</x:v>
      </x:c>
      <x:c r="D7" s="76" t="n">
        <x:v>0</x:v>
      </x:c>
    </x:row>
    <x:row r="8">
      <x:c r="A8" s="61" t="n">
        <x:v>2013</x:v>
      </x:c>
      <x:c r="B8" s="61" t="str">
        <x:v>Q3</x:v>
      </x:c>
      <x:c r="C8" s="76" t="n">
        <x:v>34788124</x:v>
      </x:c>
      <x:c r="D8" s="76" t="n">
        <x:v>0</x:v>
      </x:c>
    </x:row>
    <x:row r="9">
      <x:c r="A9" s="61" t="n">
        <x:v>2013</x:v>
      </x:c>
      <x:c r="B9" s="61" t="str">
        <x:v>Q4</x:v>
      </x:c>
      <x:c r="C9" s="76" t="n">
        <x:v>39935296</x:v>
      </x:c>
      <x:c r="D9" s="76" t="n">
        <x:v>0</x:v>
      </x:c>
    </x:row>
    <x:row r="10">
      <x:c r="A10" s="61" t="n">
        <x:v>2014</x:v>
      </x:c>
      <x:c r="B10" s="61" t="str">
        <x:v>Q1</x:v>
      </x:c>
      <x:c r="C10" s="76" t="n">
        <x:v>51315576</x:v>
      </x:c>
      <x:c r="D10" s="76" t="n">
        <x:v>0</x:v>
      </x:c>
    </x:row>
    <x:row r="11">
      <x:c r="A11" s="61" t="n">
        <x:v>2014</x:v>
      </x:c>
      <x:c r="B11" s="61" t="str">
        <x:v>Q2</x:v>
      </x:c>
      <x:c r="C11" s="76" t="n">
        <x:v>39560996</x:v>
      </x:c>
      <x:c r="D11" s="76" t="n">
        <x:v>35010</x:v>
      </x:c>
    </x:row>
    <x:row r="12">
      <x:c r="A12" s="61" t="n">
        <x:v>2014</x:v>
      </x:c>
      <x:c r="B12" s="61" t="str">
        <x:v>Q3</x:v>
      </x:c>
      <x:c r="C12" s="76" t="n">
        <x:v>53329484</x:v>
      </x:c>
      <x:c r="D12" s="76" t="n">
        <x:v>184264</x:v>
      </x:c>
    </x:row>
    <x:row r="13">
      <x:c r="A13" s="61" t="n">
        <x:v>2014</x:v>
      </x:c>
      <x:c r="B13" s="61" t="str">
        <x:v>Q4</x:v>
      </x:c>
      <x:c r="C13" s="76" t="n">
        <x:v>65268190</x:v>
      </x:c>
      <x:c r="D13" s="76" t="n">
        <x:v>239840</x:v>
      </x:c>
    </x:row>
    <x:row r="14">
      <x:c r="A14" s="61" t="n">
        <x:v>2015</x:v>
      </x:c>
      <x:c r="B14" s="61" t="str">
        <x:v>Q1</x:v>
      </x:c>
      <x:c r="C14" s="76" t="n">
        <x:v>44237924</x:v>
      </x:c>
      <x:c r="D14" s="76" t="n">
        <x:v>136252</x:v>
      </x:c>
    </x:row>
    <x:row r="15">
      <x:c r="A15" s="61" t="n">
        <x:v>2015</x:v>
      </x:c>
      <x:c r="B15" s="61" t="str">
        <x:v>Q2</x:v>
      </x:c>
      <x:c r="C15" s="76" t="n">
        <x:v>54300796</x:v>
      </x:c>
      <x:c r="D15" s="76" t="n">
        <x:v>215084</x:v>
      </x:c>
    </x:row>
    <x:row r="16">
      <x:c r="A16" s="61" t="n">
        <x:v>2015</x:v>
      </x:c>
      <x:c r="B16" s="61" t="str">
        <x:v>Q3</x:v>
      </x:c>
      <x:c r="C16" s="76" t="n">
        <x:v>68414180</x:v>
      </x:c>
      <x:c r="D16" s="76" t="n">
        <x:v>359229</x:v>
      </x:c>
    </x:row>
    <x:row r="17">
      <x:c r="A17" s="61" t="n">
        <x:v>2015</x:v>
      </x:c>
      <x:c r="B17" s="61" t="str">
        <x:v>Q4</x:v>
      </x:c>
      <x:c r="C17" s="76" t="n">
        <x:v>73927200</x:v>
      </x:c>
      <x:c r="D17" s="76" t="n">
        <x:v>376710</x:v>
      </x:c>
    </x:row>
    <x:row r="18">
      <x:c r="A18" s="61" t="n">
        <x:v>2016</x:v>
      </x:c>
      <x:c r="B18" s="61" t="str">
        <x:v>Q1</x:v>
      </x:c>
      <x:c r="C18" s="76" t="n">
        <x:v>69056990</x:v>
      </x:c>
      <x:c r="D18" s="76" t="n">
        <x:v>484909</x:v>
      </x:c>
    </x:row>
    <x:row r="19">
      <x:c r="A19" s="61" t="n">
        <x:v>2016</x:v>
      </x:c>
      <x:c r="B19" s="61" t="str">
        <x:v>Q2</x:v>
      </x:c>
      <x:c r="C19" s="76" t="n">
        <x:v>72951670</x:v>
      </x:c>
      <x:c r="D19" s="76" t="n">
        <x:v>870747</x:v>
      </x:c>
    </x:row>
    <x:row r="20">
      <x:c r="A20" s="61" t="n">
        <x:v>2016</x:v>
      </x:c>
      <x:c r="B20" s="61" t="str">
        <x:v>Q3</x:v>
      </x:c>
      <x:c r="C20" s="76" t="n">
        <x:v>68332536</x:v>
      </x:c>
      <x:c r="D20" s="76" t="n">
        <x:v>832558</x:v>
      </x:c>
    </x:row>
    <x:row r="21">
      <x:c r="A21" s="61" t="n">
        <x:v>2016</x:v>
      </x:c>
      <x:c r="B21" s="61" t="str">
        <x:v>Q4</x:v>
      </x:c>
      <x:c r="C21" s="76" t="n">
        <x:v>78313320</x:v>
      </x:c>
      <x:c r="D21" s="76" t="n">
        <x:v>1326370</x:v>
      </x:c>
    </x:row>
    <x:row r="22">
      <x:c r="A22" s="61" t="n">
        <x:v>2017</x:v>
      </x:c>
      <x:c r="B22" s="61" t="str">
        <x:v>Q1</x:v>
      </x:c>
      <x:c r="C22" s="76" t="n">
        <x:v>76282290</x:v>
      </x:c>
      <x:c r="D22" s="76" t="n">
        <x:v>999973</x:v>
      </x:c>
    </x:row>
    <x:row r="23">
      <x:c r="A23" s="61" t="n">
        <x:v>2017</x:v>
      </x:c>
      <x:c r="B23" s="61" t="str">
        <x:v>Q2</x:v>
      </x:c>
      <x:c r="C23" s="76" t="n">
        <x:v>78489976</x:v>
      </x:c>
      <x:c r="D23" s="76" t="n">
        <x:v>1180270</x:v>
      </x:c>
    </x:row>
    <x:row r="24">
      <x:c r="A24" s="61" t="n">
        <x:v>2017</x:v>
      </x:c>
      <x:c r="B24" s="61" t="str">
        <x:v>Q3</x:v>
      </x:c>
      <x:c r="C24" s="76" t="n">
        <x:v>39444800</x:v>
      </x:c>
      <x:c r="D24" s="76" t="n">
        <x:v>569406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e76d3892af6849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59" t="str">
        <x:v>Annual Performance</x:v>
      </x:c>
      <x:c r="B1" s="59"/>
      <x:c r="C1" s="59"/>
      <x:c r="D1" s="59"/>
    </x:row>
    <x:row r="2">
      <x:c r="A2" s="59"/>
      <x:c r="B2" s="59"/>
      <x:c r="C2" s="59"/>
      <x:c r="D2" s="59"/>
    </x:row>
    <x:row r="3" ht="28" customHeight="1">
      <x:c r="A3" s="60" t="str">
        <x:v>2017 is year-to-date through 15 August and must not be compared with full prior years</x:v>
      </x:c>
      <x:c r="B3" s="60"/>
      <x:c r="C3" s="60"/>
      <x:c r="D3" s="60"/>
    </x:row>
    <x:row r="4">
      <x:c r="A4" s="61"/>
      <x:c r="B4" s="61"/>
      <x:c r="C4" s="61"/>
      <x:c r="D4" s="61"/>
    </x:row>
    <x:row r="5">
      <x:c r="A5" s="73" t="str">
        <x:v>year</x:v>
      </x:c>
      <x:c r="B5" s="74" t="str">
        <x:v>unit_sales</x:v>
      </x:c>
      <x:c r="C5" s="74" t="str">
        <x:v>promotion_units</x:v>
      </x:c>
      <x:c r="D5" s="75" t="str">
        <x:v>observed_days</x:v>
      </x:c>
    </x:row>
    <x:row r="6">
      <x:c r="A6" s="61" t="n">
        <x:v>2013</x:v>
      </x:c>
      <x:c r="B6" s="76" t="n">
        <x:v>140419000</x:v>
      </x:c>
      <x:c r="C6" s="76" t="n">
        <x:v>0</x:v>
      </x:c>
      <x:c r="D6" s="76" t="n">
        <x:v>364</x:v>
      </x:c>
    </x:row>
    <x:row r="7">
      <x:c r="A7" s="61" t="n">
        <x:v>2014</x:v>
      </x:c>
      <x:c r="B7" s="76" t="n">
        <x:v>209474240</x:v>
      </x:c>
      <x:c r="C7" s="76" t="n">
        <x:v>459114</x:v>
      </x:c>
      <x:c r="D7" s="76" t="n">
        <x:v>364</x:v>
      </x:c>
    </x:row>
    <x:row r="8">
      <x:c r="A8" s="61" t="n">
        <x:v>2015</x:v>
      </x:c>
      <x:c r="B8" s="76" t="n">
        <x:v>240880100</x:v>
      </x:c>
      <x:c r="C8" s="76" t="n">
        <x:v>1087275</x:v>
      </x:c>
      <x:c r="D8" s="76" t="n">
        <x:v>364</x:v>
      </x:c>
    </x:row>
    <x:row r="9">
      <x:c r="A9" s="61" t="n">
        <x:v>2016</x:v>
      </x:c>
      <x:c r="B9" s="76" t="n">
        <x:v>288654530</x:v>
      </x:c>
      <x:c r="C9" s="76" t="n">
        <x:v>3514584</x:v>
      </x:c>
      <x:c r="D9" s="76" t="n">
        <x:v>365</x:v>
      </x:c>
    </x:row>
    <x:row r="10">
      <x:c r="A10" s="61" t="n">
        <x:v>2017</x:v>
      </x:c>
      <x:c r="B10" s="76" t="n">
        <x:v>194217070</x:v>
      </x:c>
      <x:c r="C10" s="76" t="n">
        <x:v>2749649</x:v>
      </x:c>
      <x:c r="D10" s="76" t="n">
        <x:v>227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b336d2fc21ba4d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9" t="str">
        <x:v>Branch Scorecard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</x:row>
    <x:row r="3" ht="28" customHeight="1">
      <x:c r="A3" s="60" t="str">
        <x:v>Aligned YTD: 1 January–15 August 2017 versus the same 2016 dates</x:v>
      </x:c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61"/>
      <x:c r="B4" s="61"/>
      <x:c r="C4" s="61"/>
      <x:c r="D4" s="61"/>
      <x:c r="E4" s="61"/>
      <x:c r="F4" s="61"/>
      <x:c r="G4" s="61"/>
      <x:c r="H4" s="61"/>
      <x:c r="I4" s="61"/>
      <x:c r="J4" s="61"/>
    </x:row>
    <x:row r="5">
      <x:c r="A5" s="73" t="str">
        <x:v>Store</x:v>
      </x:c>
      <x:c r="B5" s="74" t="str">
        <x:v>Current YTD Sales</x:v>
      </x:c>
      <x:c r="C5" s="74" t="str">
        <x:v>Promotion Units</x:v>
      </x:c>
      <x:c r="D5" s="74" t="str">
        <x:v>Prior YTD Sales</x:v>
      </x:c>
      <x:c r="E5" s="74" t="str">
        <x:v>YoY Growth</x:v>
      </x:c>
      <x:c r="F5" s="74" t="str">
        <x:v>City</x:v>
      </x:c>
      <x:c r="G5" s="74" t="str">
        <x:v>State</x:v>
      </x:c>
      <x:c r="H5" s="74" t="str">
        <x:v>Type</x:v>
      </x:c>
      <x:c r="I5" s="74" t="str">
        <x:v>Cluster</x:v>
      </x:c>
      <x:c r="J5" s="75" t="str">
        <x:v>Performance Status</x:v>
      </x:c>
    </x:row>
    <x:row r="6">
      <x:c r="A6" s="61" t="n">
        <x:v>1</x:v>
      </x:c>
      <x:c r="B6" s="76" t="n">
        <x:v>2436518.2</x:v>
      </x:c>
      <x:c r="C6" s="76" t="n">
        <x:v>45264</x:v>
      </x:c>
      <x:c r="D6" s="76" t="n">
        <x:v>2336742.8</x:v>
      </x:c>
      <x:c r="E6" s="90" t="n">
        <x:f>IFERROR(B6/D6-1,"")</x:f>
        <x:v>0.04269849467386844</x:v>
      </x:c>
      <x:c r="F6" s="61" t="str">
        <x:v>Quito</x:v>
      </x:c>
      <x:c r="G6" s="61" t="str">
        <x:v>Pichincha</x:v>
      </x:c>
      <x:c r="H6" s="61" t="str">
        <x:v>D</x:v>
      </x:c>
      <x:c r="I6" s="61" t="n">
        <x:v>13</x:v>
      </x:c>
      <x:c r="J6" s="61" t="str">
        <x:f>IF(E6&gt;=5%,"Growing",IF(E6&lt;=-5%,"Needs Review","Stable"))</x:f>
        <x:v>Stable</x:v>
      </x:c>
    </x:row>
    <x:row r="7">
      <x:c r="A7" s="61" t="n">
        <x:v>2</x:v>
      </x:c>
      <x:c r="B7" s="76" t="n">
        <x:v>3564824</x:v>
      </x:c>
      <x:c r="C7" s="76" t="n">
        <x:v>51344</x:v>
      </x:c>
      <x:c r="D7" s="76" t="n">
        <x:v>3697488.8</x:v>
      </x:c>
      <x:c r="E7" s="90" t="n">
        <x:f>IFERROR(B7/D7-1,"")</x:f>
        <x:v>-0.03587970300275145</x:v>
      </x:c>
      <x:c r="F7" s="61" t="str">
        <x:v>Quito</x:v>
      </x:c>
      <x:c r="G7" s="61" t="str">
        <x:v>Pichincha</x:v>
      </x:c>
      <x:c r="H7" s="61" t="str">
        <x:v>D</x:v>
      </x:c>
      <x:c r="I7" s="61" t="n">
        <x:v>13</x:v>
      </x:c>
      <x:c r="J7" s="61" t="str">
        <x:f>IF(E7&gt;=5%,"Growing",IF(E7&lt;=-5%,"Needs Review","Stable"))</x:f>
        <x:v>Stable</x:v>
      </x:c>
    </x:row>
    <x:row r="8">
      <x:c r="A8" s="61" t="n">
        <x:v>3</x:v>
      </x:c>
      <x:c r="B8" s="76" t="n">
        <x:v>8712340</x:v>
      </x:c>
      <x:c r="C8" s="76" t="n">
        <x:v>57910</x:v>
      </x:c>
      <x:c r="D8" s="76" t="n">
        <x:v>8319824.5</x:v>
      </x:c>
      <x:c r="E8" s="90" t="n">
        <x:f>IFERROR(B8/D8-1,"")</x:f>
        <x:v>0.04717833891808665</x:v>
      </x:c>
      <x:c r="F8" s="61" t="str">
        <x:v>Quito</x:v>
      </x:c>
      <x:c r="G8" s="61" t="str">
        <x:v>Pichincha</x:v>
      </x:c>
      <x:c r="H8" s="61" t="str">
        <x:v>D</x:v>
      </x:c>
      <x:c r="I8" s="61" t="n">
        <x:v>8</x:v>
      </x:c>
      <x:c r="J8" s="61" t="str">
        <x:f>IF(E8&gt;=5%,"Growing",IF(E8&lt;=-5%,"Needs Review","Stable"))</x:f>
        <x:v>Stable</x:v>
      </x:c>
    </x:row>
    <x:row r="9">
      <x:c r="A9" s="61" t="n">
        <x:v>4</x:v>
      </x:c>
      <x:c r="B9" s="76" t="n">
        <x:v>3126437</x:v>
      </x:c>
      <x:c r="C9" s="76" t="n">
        <x:v>49737</x:v>
      </x:c>
      <x:c r="D9" s="76" t="n">
        <x:v>3065645</x:v>
      </x:c>
      <x:c r="E9" s="90" t="n">
        <x:f>IFERROR(B9/D9-1,"")</x:f>
        <x:v>0.019830084696695227</x:v>
      </x:c>
      <x:c r="F9" s="61" t="str">
        <x:v>Quito</x:v>
      </x:c>
      <x:c r="G9" s="61" t="str">
        <x:v>Pichincha</x:v>
      </x:c>
      <x:c r="H9" s="61" t="str">
        <x:v>D</x:v>
      </x:c>
      <x:c r="I9" s="61" t="n">
        <x:v>9</x:v>
      </x:c>
      <x:c r="J9" s="61" t="str">
        <x:f>IF(E9&gt;=5%,"Growing",IF(E9&lt;=-5%,"Needs Review","Stable"))</x:f>
        <x:v>Stable</x:v>
      </x:c>
    </x:row>
    <x:row r="10">
      <x:c r="A10" s="61" t="n">
        <x:v>5</x:v>
      </x:c>
      <x:c r="B10" s="76" t="n">
        <x:v>2287996</x:v>
      </x:c>
      <x:c r="C10" s="76" t="n">
        <x:v>48151</x:v>
      </x:c>
      <x:c r="D10" s="76" t="n">
        <x:v>2214238.5</x:v>
      </x:c>
      <x:c r="E10" s="90" t="n">
        <x:f>IFERROR(B10/D10-1,"")</x:f>
        <x:v>0.033310548976544396</x:v>
      </x:c>
      <x:c r="F10" s="61" t="str">
        <x:v>Santo Domingo</x:v>
      </x:c>
      <x:c r="G10" s="61" t="str">
        <x:v>Santo Domingo de los Tsachilas</x:v>
      </x:c>
      <x:c r="H10" s="61" t="str">
        <x:v>D</x:v>
      </x:c>
      <x:c r="I10" s="61" t="n">
        <x:v>4</x:v>
      </x:c>
      <x:c r="J10" s="61" t="str">
        <x:f>IF(E10&gt;=5%,"Growing",IF(E10&lt;=-5%,"Needs Review","Stable"))</x:f>
        <x:v>Stable</x:v>
      </x:c>
    </x:row>
    <x:row r="11">
      <x:c r="A11" s="61" t="n">
        <x:v>6</x:v>
      </x:c>
      <x:c r="B11" s="76" t="n">
        <x:v>4242238</x:v>
      </x:c>
      <x:c r="C11" s="76" t="n">
        <x:v>54096</x:v>
      </x:c>
      <x:c r="D11" s="76" t="n">
        <x:v>4103317.8</x:v>
      </x:c>
      <x:c r="E11" s="90" t="n">
        <x:f>IFERROR(B11/D11-1,"")</x:f>
        <x:v>0.033855579014620885</x:v>
      </x:c>
      <x:c r="F11" s="61" t="str">
        <x:v>Quito</x:v>
      </x:c>
      <x:c r="G11" s="61" t="str">
        <x:v>Pichincha</x:v>
      </x:c>
      <x:c r="H11" s="61" t="str">
        <x:v>D</x:v>
      </x:c>
      <x:c r="I11" s="61" t="n">
        <x:v>13</x:v>
      </x:c>
      <x:c r="J11" s="61" t="str">
        <x:f>IF(E11&gt;=5%,"Growing",IF(E11&lt;=-5%,"Needs Review","Stable"))</x:f>
        <x:v>Stable</x:v>
      </x:c>
    </x:row>
    <x:row r="12">
      <x:c r="A12" s="61" t="n">
        <x:v>7</x:v>
      </x:c>
      <x:c r="B12" s="76" t="n">
        <x:v>4777960</x:v>
      </x:c>
      <x:c r="C12" s="76" t="n">
        <x:v>51892</x:v>
      </x:c>
      <x:c r="D12" s="76" t="n">
        <x:v>4635393.5</x:v>
      </x:c>
      <x:c r="E12" s="90" t="n">
        <x:f>IFERROR(B12/D12-1,"")</x:f>
        <x:v>0.030756072812372803</x:v>
      </x:c>
      <x:c r="F12" s="61" t="str">
        <x:v>Quito</x:v>
      </x:c>
      <x:c r="G12" s="61" t="str">
        <x:v>Pichincha</x:v>
      </x:c>
      <x:c r="H12" s="61" t="str">
        <x:v>D</x:v>
      </x:c>
      <x:c r="I12" s="61" t="n">
        <x:v>8</x:v>
      </x:c>
      <x:c r="J12" s="61" t="str">
        <x:f>IF(E12&gt;=5%,"Growing",IF(E12&lt;=-5%,"Needs Review","Stable"))</x:f>
        <x:v>Stable</x:v>
      </x:c>
    </x:row>
    <x:row r="13">
      <x:c r="A13" s="61" t="n">
        <x:v>8</x:v>
      </x:c>
      <x:c r="B13" s="76" t="n">
        <x:v>5250808</x:v>
      </x:c>
      <x:c r="C13" s="76" t="n">
        <x:v>55249</x:v>
      </x:c>
      <x:c r="D13" s="76" t="n">
        <x:v>4992193.5</x:v>
      </x:c>
      <x:c r="E13" s="90" t="n">
        <x:f>IFERROR(B13/D13-1,"")</x:f>
        <x:v>0.05180378124365581</x:v>
      </x:c>
      <x:c r="F13" s="61" t="str">
        <x:v>Quito</x:v>
      </x:c>
      <x:c r="G13" s="61" t="str">
        <x:v>Pichincha</x:v>
      </x:c>
      <x:c r="H13" s="61" t="str">
        <x:v>D</x:v>
      </x:c>
      <x:c r="I13" s="61" t="n">
        <x:v>8</x:v>
      </x:c>
      <x:c r="J13" s="61" t="str">
        <x:f>IF(E13&gt;=5%,"Growing",IF(E13&lt;=-5%,"Needs Review","Stable"))</x:f>
        <x:v>Growing</x:v>
      </x:c>
    </x:row>
    <x:row r="14">
      <x:c r="A14" s="61" t="n">
        <x:v>9</x:v>
      </x:c>
      <x:c r="B14" s="76" t="n">
        <x:v>4378638</x:v>
      </x:c>
      <x:c r="C14" s="76" t="n">
        <x:v>63999</x:v>
      </x:c>
      <x:c r="D14" s="76" t="n">
        <x:v>4166038.8</x:v>
      </x:c>
      <x:c r="E14" s="90" t="n">
        <x:f>IFERROR(B14/D14-1,"")</x:f>
        <x:v>0.051031497834345796</x:v>
      </x:c>
      <x:c r="F14" s="61" t="str">
        <x:v>Quito</x:v>
      </x:c>
      <x:c r="G14" s="61" t="str">
        <x:v>Pichincha</x:v>
      </x:c>
      <x:c r="H14" s="61" t="str">
        <x:v>B</x:v>
      </x:c>
      <x:c r="I14" s="61" t="n">
        <x:v>6</x:v>
      </x:c>
      <x:c r="J14" s="61" t="str">
        <x:f>IF(E14&gt;=5%,"Growing",IF(E14&lt;=-5%,"Needs Review","Stable"))</x:f>
        <x:v>Growing</x:v>
      </x:c>
    </x:row>
    <x:row r="15">
      <x:c r="A15" s="61" t="n">
        <x:v>10</x:v>
      </x:c>
      <x:c r="B15" s="76" t="n">
        <x:v>1462272.8</x:v>
      </x:c>
      <x:c r="C15" s="76" t="n">
        <x:v>39566</x:v>
      </x:c>
      <x:c r="D15" s="76" t="n">
        <x:v>1411268.4</x:v>
      </x:c>
      <x:c r="E15" s="90" t="n">
        <x:f>IFERROR(B15/D15-1,"")</x:f>
        <x:v>0.036140821972631354</x:v>
      </x:c>
      <x:c r="F15" s="61" t="str">
        <x:v>Quito</x:v>
      </x:c>
      <x:c r="G15" s="61" t="str">
        <x:v>Pichincha</x:v>
      </x:c>
      <x:c r="H15" s="61" t="str">
        <x:v>C</x:v>
      </x:c>
      <x:c r="I15" s="61" t="n">
        <x:v>15</x:v>
      </x:c>
      <x:c r="J15" s="61" t="str">
        <x:f>IF(E15&gt;=5%,"Growing",IF(E15&lt;=-5%,"Needs Review","Stable"))</x:f>
        <x:v>Stable</x:v>
      </x:c>
    </x:row>
    <x:row r="16">
      <x:c r="A16" s="61" t="n">
        <x:v>11</x:v>
      </x:c>
      <x:c r="B16" s="76" t="n">
        <x:v>4624729</x:v>
      </x:c>
      <x:c r="C16" s="76" t="n">
        <x:v>63630</x:v>
      </x:c>
      <x:c r="D16" s="76" t="n">
        <x:v>4308680.5</x:v>
      </x:c>
      <x:c r="E16" s="90" t="n">
        <x:f>IFERROR(B16/D16-1,"")</x:f>
        <x:v>0.07335157480346943</x:v>
      </x:c>
      <x:c r="F16" s="61" t="str">
        <x:v>Cayambe</x:v>
      </x:c>
      <x:c r="G16" s="61" t="str">
        <x:v>Pichincha</x:v>
      </x:c>
      <x:c r="H16" s="61" t="str">
        <x:v>B</x:v>
      </x:c>
      <x:c r="I16" s="61" t="n">
        <x:v>6</x:v>
      </x:c>
      <x:c r="J16" s="61" t="str">
        <x:f>IF(E16&gt;=5%,"Growing",IF(E16&lt;=-5%,"Needs Review","Stable"))</x:f>
        <x:v>Growing</x:v>
      </x:c>
    </x:row>
    <x:row r="17">
      <x:c r="A17" s="61" t="n">
        <x:v>12</x:v>
      </x:c>
      <x:c r="B17" s="76" t="n">
        <x:v>1794112.1</x:v>
      </x:c>
      <x:c r="C17" s="76" t="n">
        <x:v>45291</x:v>
      </x:c>
      <x:c r="D17" s="76" t="n">
        <x:v>1711146.5</x:v>
      </x:c>
      <x:c r="E17" s="90" t="n">
        <x:f>IFERROR(B17/D17-1,"")</x:f>
        <x:v>0.048485386844434375</x:v>
      </x:c>
      <x:c r="F17" s="61" t="str">
        <x:v>Latacunga</x:v>
      </x:c>
      <x:c r="G17" s="61" t="str">
        <x:v>Cotopaxi</x:v>
      </x:c>
      <x:c r="H17" s="61" t="str">
        <x:v>C</x:v>
      </x:c>
      <x:c r="I17" s="61" t="n">
        <x:v>15</x:v>
      </x:c>
      <x:c r="J17" s="61" t="str">
        <x:f>IF(E17&gt;=5%,"Growing",IF(E17&lt;=-5%,"Needs Review","Stable"))</x:f>
        <x:v>Stable</x:v>
      </x:c>
    </x:row>
    <x:row r="18">
      <x:c r="A18" s="61" t="n">
        <x:v>13</x:v>
      </x:c>
      <x:c r="B18" s="76" t="n">
        <x:v>1574906.6</x:v>
      </x:c>
      <x:c r="C18" s="76" t="n">
        <x:v>39431</x:v>
      </x:c>
      <x:c r="D18" s="76" t="n">
        <x:v>1560515.5</x:v>
      </x:c>
      <x:c r="E18" s="90" t="n">
        <x:f>IFERROR(B18/D18-1,"")</x:f>
        <x:v>0.00922201669896916</x:v>
      </x:c>
      <x:c r="F18" s="61" t="str">
        <x:v>Latacunga</x:v>
      </x:c>
      <x:c r="G18" s="61" t="str">
        <x:v>Cotopaxi</x:v>
      </x:c>
      <x:c r="H18" s="61" t="str">
        <x:v>C</x:v>
      </x:c>
      <x:c r="I18" s="61" t="n">
        <x:v>15</x:v>
      </x:c>
      <x:c r="J18" s="61" t="str">
        <x:f>IF(E18&gt;=5%,"Growing",IF(E18&lt;=-5%,"Needs Review","Stable"))</x:f>
        <x:v>Stable</x:v>
      </x:c>
    </x:row>
    <x:row r="19">
      <x:c r="A19" s="61" t="n">
        <x:v>14</x:v>
      </x:c>
      <x:c r="B19" s="76" t="n">
        <x:v>1867289.4</x:v>
      </x:c>
      <x:c r="C19" s="76" t="n">
        <x:v>42742</x:v>
      </x:c>
      <x:c r="D19" s="76" t="n">
        <x:v>1711297.2</x:v>
      </x:c>
      <x:c r="E19" s="90" t="n">
        <x:f>IFERROR(B19/D19-1,"")</x:f>
        <x:v>0.09115435939473282</x:v>
      </x:c>
      <x:c r="F19" s="61" t="str">
        <x:v>Riobamba</x:v>
      </x:c>
      <x:c r="G19" s="61" t="str">
        <x:v>Chimborazo</x:v>
      </x:c>
      <x:c r="H19" s="61" t="str">
        <x:v>C</x:v>
      </x:c>
      <x:c r="I19" s="61" t="n">
        <x:v>7</x:v>
      </x:c>
      <x:c r="J19" s="61" t="str">
        <x:f>IF(E19&gt;=5%,"Growing",IF(E19&lt;=-5%,"Needs Review","Stable"))</x:f>
        <x:v>Growing</x:v>
      </x:c>
    </x:row>
    <x:row r="20">
      <x:c r="A20" s="61" t="n">
        <x:v>15</x:v>
      </x:c>
      <x:c r="B20" s="76" t="n">
        <x:v>1855466.6</x:v>
      </x:c>
      <x:c r="C20" s="76" t="n">
        <x:v>47368</x:v>
      </x:c>
      <x:c r="D20" s="76" t="n">
        <x:v>1775799.5</x:v>
      </x:c>
      <x:c r="E20" s="90" t="n">
        <x:f>IFERROR(B20/D20-1,"")</x:f>
        <x:v>0.044862666083642866</x:v>
      </x:c>
      <x:c r="F20" s="61" t="str">
        <x:v>Ibarra</x:v>
      </x:c>
      <x:c r="G20" s="61" t="str">
        <x:v>Imbabura</x:v>
      </x:c>
      <x:c r="H20" s="61" t="str">
        <x:v>C</x:v>
      </x:c>
      <x:c r="I20" s="61" t="n">
        <x:v>15</x:v>
      </x:c>
      <x:c r="J20" s="61" t="str">
        <x:f>IF(E20&gt;=5%,"Growing",IF(E20&lt;=-5%,"Needs Review","Stable"))</x:f>
        <x:v>Stable</x:v>
      </x:c>
    </x:row>
    <x:row r="21">
      <x:c r="A21" s="61" t="n">
        <x:v>16</x:v>
      </x:c>
      <x:c r="B21" s="76" t="n">
        <x:v>1483381.4</x:v>
      </x:c>
      <x:c r="C21" s="76" t="n">
        <x:v>43806</x:v>
      </x:c>
      <x:c r="D21" s="76" t="n">
        <x:v>1490669.6</x:v>
      </x:c>
      <x:c r="E21" s="90" t="n">
        <x:f>IFERROR(B21/D21-1,"")</x:f>
        <x:v>-0.004889212203697091</x:v>
      </x:c>
      <x:c r="F21" s="61" t="str">
        <x:v>Santo Domingo</x:v>
      </x:c>
      <x:c r="G21" s="61" t="str">
        <x:v>Santo Domingo de los Tsachilas</x:v>
      </x:c>
      <x:c r="H21" s="61" t="str">
        <x:v>C</x:v>
      </x:c>
      <x:c r="I21" s="61" t="n">
        <x:v>3</x:v>
      </x:c>
      <x:c r="J21" s="61" t="str">
        <x:f>IF(E21&gt;=5%,"Growing",IF(E21&lt;=-5%,"Needs Review","Stable"))</x:f>
        <x:v>Stable</x:v>
      </x:c>
    </x:row>
    <x:row r="22">
      <x:c r="A22" s="61" t="n">
        <x:v>17</x:v>
      </x:c>
      <x:c r="B22" s="76" t="n">
        <x:v>3367259.2</x:v>
      </x:c>
      <x:c r="C22" s="76" t="n">
        <x:v>52515</x:v>
      </x:c>
      <x:c r="D22" s="76" t="n">
        <x:v>3179405.2</x:v>
      </x:c>
      <x:c r="E22" s="90" t="n">
        <x:f>IFERROR(B22/D22-1,"")</x:f>
        <x:v>0.05908463633386529</x:v>
      </x:c>
      <x:c r="F22" s="61" t="str">
        <x:v>Quito</x:v>
      </x:c>
      <x:c r="G22" s="61" t="str">
        <x:v>Pichincha</x:v>
      </x:c>
      <x:c r="H22" s="61" t="str">
        <x:v>C</x:v>
      </x:c>
      <x:c r="I22" s="61" t="n">
        <x:v>12</x:v>
      </x:c>
      <x:c r="J22" s="61" t="str">
        <x:f>IF(E22&gt;=5%,"Growing",IF(E22&lt;=-5%,"Needs Review","Stable"))</x:f>
        <x:v>Growing</x:v>
      </x:c>
    </x:row>
    <x:row r="23">
      <x:c r="A23" s="61" t="n">
        <x:v>18</x:v>
      </x:c>
      <x:c r="B23" s="76" t="n">
        <x:v>2574146.2</x:v>
      </x:c>
      <x:c r="C23" s="76" t="n">
        <x:v>59990</x:v>
      </x:c>
      <x:c r="D23" s="76" t="n">
        <x:v>2356423</x:v>
      </x:c>
      <x:c r="E23" s="90" t="n">
        <x:f>IFERROR(B23/D23-1,"")</x:f>
        <x:v>0.09239563524884975</x:v>
      </x:c>
      <x:c r="F23" s="61" t="str">
        <x:v>Quito</x:v>
      </x:c>
      <x:c r="G23" s="61" t="str">
        <x:v>Pichincha</x:v>
      </x:c>
      <x:c r="H23" s="61" t="str">
        <x:v>B</x:v>
      </x:c>
      <x:c r="I23" s="61" t="n">
        <x:v>16</x:v>
      </x:c>
      <x:c r="J23" s="61" t="str">
        <x:f>IF(E23&gt;=5%,"Growing",IF(E23&lt;=-5%,"Needs Review","Stable"))</x:f>
        <x:v>Growing</x:v>
      </x:c>
    </x:row>
    <x:row r="24">
      <x:c r="A24" s="61" t="n">
        <x:v>19</x:v>
      </x:c>
      <x:c r="B24" s="76" t="n">
        <x:v>2120811.8</x:v>
      </x:c>
      <x:c r="C24" s="76" t="n">
        <x:v>43390</x:v>
      </x:c>
      <x:c r="D24" s="76" t="n">
        <x:v>2064844.9</x:v>
      </x:c>
      <x:c r="E24" s="90" t="n">
        <x:f>IFERROR(B24/D24-1,"")</x:f>
        <x:v>0.027104650814208764</x:v>
      </x:c>
      <x:c r="F24" s="61" t="str">
        <x:v>Guaranda</x:v>
      </x:c>
      <x:c r="G24" s="61" t="str">
        <x:v>Bolivar</x:v>
      </x:c>
      <x:c r="H24" s="61" t="str">
        <x:v>C</x:v>
      </x:c>
      <x:c r="I24" s="61" t="n">
        <x:v>15</x:v>
      </x:c>
      <x:c r="J24" s="61" t="str">
        <x:f>IF(E24&gt;=5%,"Growing",IF(E24&lt;=-5%,"Needs Review","Stable"))</x:f>
        <x:v>Stable</x:v>
      </x:c>
    </x:row>
    <x:row r="25">
      <x:c r="A25" s="61" t="n">
        <x:v>20</x:v>
      </x:c>
      <x:c r="B25" s="76" t="n">
        <x:v>3612256.5</x:v>
      </x:c>
      <x:c r="C25" s="76" t="n">
        <x:v>61530</x:v>
      </x:c>
      <x:c r="D25" s="76" t="n">
        <x:v>3434284.8</x:v>
      </x:c>
      <x:c r="E25" s="90" t="n">
        <x:f>IFERROR(B25/D25-1,"")</x:f>
        <x:v>0.05182205622550584</x:v>
      </x:c>
      <x:c r="F25" s="61" t="str">
        <x:v>Quito</x:v>
      </x:c>
      <x:c r="G25" s="61" t="str">
        <x:v>Pichincha</x:v>
      </x:c>
      <x:c r="H25" s="61" t="str">
        <x:v>B</x:v>
      </x:c>
      <x:c r="I25" s="61" t="n">
        <x:v>6</x:v>
      </x:c>
      <x:c r="J25" s="61" t="str">
        <x:f>IF(E25&gt;=5%,"Growing",IF(E25&lt;=-5%,"Needs Review","Stable"))</x:f>
        <x:v>Growing</x:v>
      </x:c>
    </x:row>
    <x:row r="26">
      <x:c r="A26" s="61" t="n">
        <x:v>21</x:v>
      </x:c>
      <x:c r="B26" s="76" t="n">
        <x:v>2980056.5</x:v>
      </x:c>
      <x:c r="C26" s="76" t="n">
        <x:v>58743</x:v>
      </x:c>
      <x:c r="D26" s="76" t="n">
        <x:v>2483256.8</x:v>
      </x:c>
      <x:c r="E26" s="90" t="n">
        <x:f>IFERROR(B26/D26-1,"")</x:f>
        <x:v>0.2000597360691816</x:v>
      </x:c>
      <x:c r="F26" s="61" t="str">
        <x:v>Santo Domingo</x:v>
      </x:c>
      <x:c r="G26" s="61" t="str">
        <x:v>Santo Domingo de los Tsachilas</x:v>
      </x:c>
      <x:c r="H26" s="61" t="str">
        <x:v>B</x:v>
      </x:c>
      <x:c r="I26" s="61" t="n">
        <x:v>6</x:v>
      </x:c>
      <x:c r="J26" s="61" t="str">
        <x:f>IF(E26&gt;=5%,"Growing",IF(E26&lt;=-5%,"Needs Review","Stable"))</x:f>
        <x:v>Growing</x:v>
      </x:c>
    </x:row>
    <x:row r="27">
      <x:c r="A27" s="61" t="n">
        <x:v>22</x:v>
      </x:c>
      <x:c r="B27" s="76" t="n">
        <x:v>1517214.2</x:v>
      </x:c>
      <x:c r="C27" s="76" t="n">
        <x:v>44513</x:v>
      </x:c>
      <x:c r="D27" s="76" t="n">
        <x:v>1228253.5</x:v>
      </x:c>
      <x:c r="E27" s="90" t="n">
        <x:f>IFERROR(B27/D27-1,"")</x:f>
        <x:v>0.23526145050675606</x:v>
      </x:c>
      <x:c r="F27" s="61" t="str">
        <x:v>Puyo</x:v>
      </x:c>
      <x:c r="G27" s="61" t="str">
        <x:v>Pastaza</x:v>
      </x:c>
      <x:c r="H27" s="61" t="str">
        <x:v>C</x:v>
      </x:c>
      <x:c r="I27" s="61" t="n">
        <x:v>7</x:v>
      </x:c>
      <x:c r="J27" s="61" t="str">
        <x:f>IF(E27&gt;=5%,"Growing",IF(E27&lt;=-5%,"Needs Review","Stable"))</x:f>
        <x:v>Growing</x:v>
      </x:c>
    </x:row>
    <x:row r="28">
      <x:c r="A28" s="61" t="n">
        <x:v>23</x:v>
      </x:c>
      <x:c r="B28" s="76" t="n">
        <x:v>1905896.6</x:v>
      </x:c>
      <x:c r="C28" s="76" t="n">
        <x:v>43243</x:v>
      </x:c>
      <x:c r="D28" s="76" t="n">
        <x:v>1801973.2</x:v>
      </x:c>
      <x:c r="E28" s="90" t="n">
        <x:f>IFERROR(B28/D28-1,"")</x:f>
        <x:v>0.0576720008932432</x:v>
      </x:c>
      <x:c r="F28" s="61" t="str">
        <x:v>Ambato</x:v>
      </x:c>
      <x:c r="G28" s="61" t="str">
        <x:v>Tungurahua</x:v>
      </x:c>
      <x:c r="H28" s="61" t="str">
        <x:v>D</x:v>
      </x:c>
      <x:c r="I28" s="61" t="n">
        <x:v>9</x:v>
      </x:c>
      <x:c r="J28" s="61" t="str">
        <x:f>IF(E28&gt;=5%,"Growing",IF(E28&lt;=-5%,"Needs Review","Stable"))</x:f>
        <x:v>Growing</x:v>
      </x:c>
    </x:row>
    <x:row r="29">
      <x:c r="A29" s="61" t="n">
        <x:v>24</x:v>
      </x:c>
      <x:c r="B29" s="76" t="n">
        <x:v>4058474.8</x:v>
      </x:c>
      <x:c r="C29" s="76" t="n">
        <x:v>51445</x:v>
      </x:c>
      <x:c r="D29" s="76" t="n">
        <x:v>3962048.8</x:v>
      </x:c>
      <x:c r="E29" s="90" t="n">
        <x:f>IFERROR(B29/D29-1,"")</x:f>
        <x:v>0.02433740846402488</x:v>
      </x:c>
      <x:c r="F29" s="61" t="str">
        <x:v>Guayaquil</x:v>
      </x:c>
      <x:c r="G29" s="61" t="str">
        <x:v>Guayas</x:v>
      </x:c>
      <x:c r="H29" s="61" t="str">
        <x:v>D</x:v>
      </x:c>
      <x:c r="I29" s="61" t="n">
        <x:v>1</x:v>
      </x:c>
      <x:c r="J29" s="61" t="str">
        <x:f>IF(E29&gt;=5%,"Growing",IF(E29&lt;=-5%,"Needs Review","Stable"))</x:f>
        <x:v>Stable</x:v>
      </x:c>
    </x:row>
    <x:row r="30">
      <x:c r="A30" s="61" t="n">
        <x:v>25</x:v>
      </x:c>
      <x:c r="B30" s="76" t="n">
        <x:v>2137267</x:v>
      </x:c>
      <x:c r="C30" s="76" t="n">
        <x:v>42002</x:v>
      </x:c>
      <x:c r="D30" s="76" t="n">
        <x:v>1922944</x:v>
      </x:c>
      <x:c r="E30" s="90" t="n">
        <x:f>IFERROR(B30/D30-1,"")</x:f>
        <x:v>0.11145566381548289</x:v>
      </x:c>
      <x:c r="F30" s="61" t="str">
        <x:v>Salinas</x:v>
      </x:c>
      <x:c r="G30" s="61" t="str">
        <x:v>Santa Elena</x:v>
      </x:c>
      <x:c r="H30" s="61" t="str">
        <x:v>D</x:v>
      </x:c>
      <x:c r="I30" s="61" t="n">
        <x:v>1</x:v>
      </x:c>
      <x:c r="J30" s="61" t="str">
        <x:f>IF(E30&gt;=5%,"Growing",IF(E30&lt;=-5%,"Needs Review","Stable"))</x:f>
        <x:v>Growing</x:v>
      </x:c>
    </x:row>
    <x:row r="31">
      <x:c r="A31" s="61" t="n">
        <x:v>26</x:v>
      </x:c>
      <x:c r="B31" s="76" t="n">
        <x:v>1163097</x:v>
      </x:c>
      <x:c r="C31" s="76" t="n">
        <x:v>36920</x:v>
      </x:c>
      <x:c r="D31" s="76" t="n">
        <x:v>1022652.94</x:v>
      </x:c>
      <x:c r="E31" s="90" t="n">
        <x:f>IFERROR(B31/D31-1,"")</x:f>
        <x:v>0.13733306237793652</x:v>
      </x:c>
      <x:c r="F31" s="61" t="str">
        <x:v>Guayaquil</x:v>
      </x:c>
      <x:c r="G31" s="61" t="str">
        <x:v>Guayas</x:v>
      </x:c>
      <x:c r="H31" s="61" t="str">
        <x:v>D</x:v>
      </x:c>
      <x:c r="I31" s="61" t="n">
        <x:v>10</x:v>
      </x:c>
      <x:c r="J31" s="61" t="str">
        <x:f>IF(E31&gt;=5%,"Growing",IF(E31&lt;=-5%,"Needs Review","Stable"))</x:f>
        <x:v>Growing</x:v>
      </x:c>
    </x:row>
    <x:row r="32">
      <x:c r="A32" s="61" t="n">
        <x:v>27</x:v>
      </x:c>
      <x:c r="B32" s="76" t="n">
        <x:v>3507028.5</x:v>
      </x:c>
      <x:c r="C32" s="76" t="n">
        <x:v>49718</x:v>
      </x:c>
      <x:c r="D32" s="76" t="n">
        <x:v>3211572.5</x:v>
      </x:c>
      <x:c r="E32" s="90" t="n">
        <x:f>IFERROR(B32/D32-1,"")</x:f>
        <x:v>0.091997300387894</x:v>
      </x:c>
      <x:c r="F32" s="61" t="str">
        <x:v>Daule</x:v>
      </x:c>
      <x:c r="G32" s="61" t="str">
        <x:v>Guayas</x:v>
      </x:c>
      <x:c r="H32" s="61" t="str">
        <x:v>D</x:v>
      </x:c>
      <x:c r="I32" s="61" t="n">
        <x:v>1</x:v>
      </x:c>
      <x:c r="J32" s="61" t="str">
        <x:f>IF(E32&gt;=5%,"Growing",IF(E32&lt;=-5%,"Needs Review","Stable"))</x:f>
        <x:v>Growing</x:v>
      </x:c>
    </x:row>
    <x:row r="33">
      <x:c r="A33" s="61" t="n">
        <x:v>28</x:v>
      </x:c>
      <x:c r="B33" s="76" t="n">
        <x:v>3420310</x:v>
      </x:c>
      <x:c r="C33" s="76" t="n">
        <x:v>59128</x:v>
      </x:c>
      <x:c r="D33" s="76" t="n">
        <x:v>3106212.5</x:v>
      </x:c>
      <x:c r="E33" s="90" t="n">
        <x:f>IFERROR(B33/D33-1,"")</x:f>
        <x:v>0.1011191281987307</x:v>
      </x:c>
      <x:c r="F33" s="61" t="str">
        <x:v>Guayaquil</x:v>
      </x:c>
      <x:c r="G33" s="61" t="str">
        <x:v>Guayas</x:v>
      </x:c>
      <x:c r="H33" s="61" t="str">
        <x:v>E</x:v>
      </x:c>
      <x:c r="I33" s="61" t="n">
        <x:v>10</x:v>
      </x:c>
      <x:c r="J33" s="61" t="str">
        <x:f>IF(E33&gt;=5%,"Growing",IF(E33&lt;=-5%,"Needs Review","Stable"))</x:f>
        <x:v>Growing</x:v>
      </x:c>
    </x:row>
    <x:row r="34">
      <x:c r="A34" s="61" t="n">
        <x:v>29</x:v>
      </x:c>
      <x:c r="B34" s="76" t="n">
        <x:v>2810076.2</x:v>
      </x:c>
      <x:c r="C34" s="76" t="n">
        <x:v>59152</x:v>
      </x:c>
      <x:c r="D34" s="76" t="n">
        <x:v>2535828.2</x:v>
      </x:c>
      <x:c r="E34" s="90" t="n">
        <x:f>IFERROR(B34/D34-1,"")</x:f>
        <x:v>0.10814928235280297</x:v>
      </x:c>
      <x:c r="F34" s="61" t="str">
        <x:v>Guayaquil</x:v>
      </x:c>
      <x:c r="G34" s="61" t="str">
        <x:v>Guayas</x:v>
      </x:c>
      <x:c r="H34" s="61" t="str">
        <x:v>E</x:v>
      </x:c>
      <x:c r="I34" s="61" t="n">
        <x:v>10</x:v>
      </x:c>
      <x:c r="J34" s="61" t="str">
        <x:f>IF(E34&gt;=5%,"Growing",IF(E34&lt;=-5%,"Needs Review","Stable"))</x:f>
        <x:v>Growing</x:v>
      </x:c>
    </x:row>
    <x:row r="35">
      <x:c r="A35" s="61" t="n">
        <x:v>30</x:v>
      </x:c>
      <x:c r="B35" s="76" t="n">
        <x:v>1306217.9</x:v>
      </x:c>
      <x:c r="C35" s="76" t="n">
        <x:v>38426</x:v>
      </x:c>
      <x:c r="D35" s="76" t="n">
        <x:v>1205636.6</x:v>
      </x:c>
      <x:c r="E35" s="90" t="n">
        <x:f>IFERROR(B35/D35-1,"")</x:f>
        <x:v>0.08342588471517853</x:v>
      </x:c>
      <x:c r="F35" s="61" t="str">
        <x:v>Guayaquil</x:v>
      </x:c>
      <x:c r="G35" s="61" t="str">
        <x:v>Guayas</x:v>
      </x:c>
      <x:c r="H35" s="61" t="str">
        <x:v>C</x:v>
      </x:c>
      <x:c r="I35" s="61" t="n">
        <x:v>3</x:v>
      </x:c>
      <x:c r="J35" s="61" t="str">
        <x:f>IF(E35&gt;=5%,"Growing",IF(E35&lt;=-5%,"Needs Review","Stable"))</x:f>
        <x:v>Growing</x:v>
      </x:c>
    </x:row>
    <x:row r="36">
      <x:c r="A36" s="61" t="n">
        <x:v>31</x:v>
      </x:c>
      <x:c r="B36" s="76" t="n">
        <x:v>3018913</x:v>
      </x:c>
      <x:c r="C36" s="76" t="n">
        <x:v>55297</x:v>
      </x:c>
      <x:c r="D36" s="76" t="n">
        <x:v>2832439.5</x:v>
      </x:c>
      <x:c r="E36" s="90" t="n">
        <x:f>IFERROR(B36/D36-1,"")</x:f>
        <x:v>0.06583494545955881</x:v>
      </x:c>
      <x:c r="F36" s="61" t="str">
        <x:v>Babahoyo</x:v>
      </x:c>
      <x:c r="G36" s="61" t="str">
        <x:v>Los Rios</x:v>
      </x:c>
      <x:c r="H36" s="61" t="str">
        <x:v>B</x:v>
      </x:c>
      <x:c r="I36" s="61" t="n">
        <x:v>10</x:v>
      </x:c>
      <x:c r="J36" s="61" t="str">
        <x:f>IF(E36&gt;=5%,"Growing",IF(E36&lt;=-5%,"Needs Review","Stable"))</x:f>
        <x:v>Growing</x:v>
      </x:c>
    </x:row>
    <x:row r="37">
      <x:c r="A37" s="61" t="n">
        <x:v>32</x:v>
      </x:c>
      <x:c r="B37" s="76" t="n">
        <x:v>1130641.4</x:v>
      </x:c>
      <x:c r="C37" s="76" t="n">
        <x:v>34136</x:v>
      </x:c>
      <x:c r="D37" s="76" t="n">
        <x:v>890266.4</x:v>
      </x:c>
      <x:c r="E37" s="90" t="n">
        <x:f>IFERROR(B37/D37-1,"")</x:f>
        <x:v>0.27000345065252374</x:v>
      </x:c>
      <x:c r="F37" s="61" t="str">
        <x:v>Guayaquil</x:v>
      </x:c>
      <x:c r="G37" s="61" t="str">
        <x:v>Guayas</x:v>
      </x:c>
      <x:c r="H37" s="61" t="str">
        <x:v>C</x:v>
      </x:c>
      <x:c r="I37" s="61" t="n">
        <x:v>3</x:v>
      </x:c>
      <x:c r="J37" s="61" t="str">
        <x:f>IF(E37&gt;=5%,"Growing",IF(E37&lt;=-5%,"Needs Review","Stable"))</x:f>
        <x:v>Growing</x:v>
      </x:c>
    </x:row>
    <x:row r="38">
      <x:c r="A38" s="61" t="n">
        <x:v>33</x:v>
      </x:c>
      <x:c r="B38" s="76" t="n">
        <x:v>2200351.2</x:v>
      </x:c>
      <x:c r="C38" s="76" t="n">
        <x:v>52856</x:v>
      </x:c>
      <x:c r="D38" s="76" t="n">
        <x:v>2136376.2</x:v>
      </x:c>
      <x:c r="E38" s="90" t="n">
        <x:f>IFERROR(B38/D38-1,"")</x:f>
        <x:v>0.029945568575422188</x:v>
      </x:c>
      <x:c r="F38" s="61" t="str">
        <x:v>Quevedo</x:v>
      </x:c>
      <x:c r="G38" s="61" t="str">
        <x:v>Los Rios</x:v>
      </x:c>
      <x:c r="H38" s="61" t="str">
        <x:v>C</x:v>
      </x:c>
      <x:c r="I38" s="61" t="n">
        <x:v>3</x:v>
      </x:c>
      <x:c r="J38" s="61" t="str">
        <x:f>IF(E38&gt;=5%,"Growing",IF(E38&lt;=-5%,"Needs Review","Stable"))</x:f>
        <x:v>Stable</x:v>
      </x:c>
    </x:row>
    <x:row r="39">
      <x:c r="A39" s="61" t="n">
        <x:v>34</x:v>
      </x:c>
      <x:c r="B39" s="76" t="n">
        <x:v>2570170.2</x:v>
      </x:c>
      <x:c r="C39" s="76" t="n">
        <x:v>54209</x:v>
      </x:c>
      <x:c r="D39" s="76" t="n">
        <x:v>2457902.8</x:v>
      </x:c>
      <x:c r="E39" s="90" t="n">
        <x:f>IFERROR(B39/D39-1,"")</x:f>
        <x:v>0.045676094270286294</x:v>
      </x:c>
      <x:c r="F39" s="61" t="str">
        <x:v>Guayaquil</x:v>
      </x:c>
      <x:c r="G39" s="61" t="str">
        <x:v>Guayas</x:v>
      </x:c>
      <x:c r="H39" s="61" t="str">
        <x:v>B</x:v>
      </x:c>
      <x:c r="I39" s="61" t="n">
        <x:v>6</x:v>
      </x:c>
      <x:c r="J39" s="61" t="str">
        <x:f>IF(E39&gt;=5%,"Growing",IF(E39&lt;=-5%,"Needs Review","Stable"))</x:f>
        <x:v>Stable</x:v>
      </x:c>
    </x:row>
    <x:row r="40">
      <x:c r="A40" s="61" t="n">
        <x:v>35</x:v>
      </x:c>
      <x:c r="B40" s="76" t="n">
        <x:v>1285331.4</x:v>
      </x:c>
      <x:c r="C40" s="76" t="n">
        <x:v>40679</x:v>
      </x:c>
      <x:c r="D40" s="76" t="n">
        <x:v>1234099</x:v>
      </x:c>
      <x:c r="E40" s="90" t="n">
        <x:f>IFERROR(B40/D40-1,"")</x:f>
        <x:v>0.04151401143668365</x:v>
      </x:c>
      <x:c r="F40" s="61" t="str">
        <x:v>Playas</x:v>
      </x:c>
      <x:c r="G40" s="61" t="str">
        <x:v>Guayas</x:v>
      </x:c>
      <x:c r="H40" s="61" t="str">
        <x:v>C</x:v>
      </x:c>
      <x:c r="I40" s="61" t="n">
        <x:v>3</x:v>
      </x:c>
      <x:c r="J40" s="61" t="str">
        <x:f>IF(E40&gt;=5%,"Growing",IF(E40&lt;=-5%,"Needs Review","Stable"))</x:f>
        <x:v>Stable</x:v>
      </x:c>
    </x:row>
    <x:row r="41">
      <x:c r="A41" s="61" t="n">
        <x:v>36</x:v>
      </x:c>
      <x:c r="B41" s="76" t="n">
        <x:v>2749430.5</x:v>
      </x:c>
      <x:c r="C41" s="76" t="n">
        <x:v>57044</x:v>
      </x:c>
      <x:c r="D41" s="76" t="n">
        <x:v>2643800.2</x:v>
      </x:c>
      <x:c r="E41" s="90" t="n">
        <x:f>IFERROR(B41/D41-1,"")</x:f>
        <x:v>0.03995396475119417</x:v>
      </x:c>
      <x:c r="F41" s="61" t="str">
        <x:v>Libertad</x:v>
      </x:c>
      <x:c r="G41" s="61" t="str">
        <x:v>Guayas</x:v>
      </x:c>
      <x:c r="H41" s="61" t="str">
        <x:v>E</x:v>
      </x:c>
      <x:c r="I41" s="61" t="n">
        <x:v>10</x:v>
      </x:c>
      <x:c r="J41" s="61" t="str">
        <x:f>IF(E41&gt;=5%,"Growing",IF(E41&lt;=-5%,"Needs Review","Stable"))</x:f>
        <x:v>Stable</x:v>
      </x:c>
    </x:row>
    <x:row r="42">
      <x:c r="A42" s="61" t="n">
        <x:v>37</x:v>
      </x:c>
      <x:c r="B42" s="76" t="n">
        <x:v>3185796</x:v>
      </x:c>
      <x:c r="C42" s="76" t="n">
        <x:v>50128</x:v>
      </x:c>
      <x:c r="D42" s="76" t="n">
        <x:v>2997272</x:v>
      </x:c>
      <x:c r="E42" s="90" t="n">
        <x:f>IFERROR(B42/D42-1,"")</x:f>
        <x:v>0.06289852906242754</x:v>
      </x:c>
      <x:c r="F42" s="61" t="str">
        <x:v>Cuenca</x:v>
      </x:c>
      <x:c r="G42" s="61" t="str">
        <x:v>Azuay</x:v>
      </x:c>
      <x:c r="H42" s="61" t="str">
        <x:v>D</x:v>
      </x:c>
      <x:c r="I42" s="61" t="n">
        <x:v>2</x:v>
      </x:c>
      <x:c r="J42" s="61" t="str">
        <x:f>IF(E42&gt;=5%,"Growing",IF(E42&lt;=-5%,"Needs Review","Stable"))</x:f>
        <x:v>Growing</x:v>
      </x:c>
    </x:row>
    <x:row r="43">
      <x:c r="A43" s="61" t="n">
        <x:v>38</x:v>
      </x:c>
      <x:c r="B43" s="76" t="n">
        <x:v>3005988</x:v>
      </x:c>
      <x:c r="C43" s="76" t="n">
        <x:v>48154</x:v>
      </x:c>
      <x:c r="D43" s="76" t="n">
        <x:v>2702616</x:v>
      </x:c>
      <x:c r="E43" s="90" t="n">
        <x:f>IFERROR(B43/D43-1,"")</x:f>
        <x:v>0.11225124101981199</x:v>
      </x:c>
      <x:c r="F43" s="61" t="str">
        <x:v>Loja</x:v>
      </x:c>
      <x:c r="G43" s="61" t="str">
        <x:v>Loja</x:v>
      </x:c>
      <x:c r="H43" s="61" t="str">
        <x:v>D</x:v>
      </x:c>
      <x:c r="I43" s="61" t="n">
        <x:v>4</x:v>
      </x:c>
      <x:c r="J43" s="61" t="str">
        <x:f>IF(E43&gt;=5%,"Growing",IF(E43&lt;=-5%,"Needs Review","Stable"))</x:f>
        <x:v>Growing</x:v>
      </x:c>
    </x:row>
    <x:row r="44">
      <x:c r="A44" s="61" t="n">
        <x:v>39</x:v>
      </x:c>
      <x:c r="B44" s="76" t="n">
        <x:v>3739070</x:v>
      </x:c>
      <x:c r="C44" s="76" t="n">
        <x:v>61613</x:v>
      </x:c>
      <x:c r="D44" s="76" t="n">
        <x:v>3384046.5</x:v>
      </x:c>
      <x:c r="E44" s="90" t="n">
        <x:f>IFERROR(B44/D44-1,"")</x:f>
        <x:v>0.10491094020132397</x:v>
      </x:c>
      <x:c r="F44" s="61" t="str">
        <x:v>Cuenca</x:v>
      </x:c>
      <x:c r="G44" s="61" t="str">
        <x:v>Azuay</x:v>
      </x:c>
      <x:c r="H44" s="61" t="str">
        <x:v>B</x:v>
      </x:c>
      <x:c r="I44" s="61" t="n">
        <x:v>6</x:v>
      </x:c>
      <x:c r="J44" s="61" t="str">
        <x:f>IF(E44&gt;=5%,"Growing",IF(E44&lt;=-5%,"Needs Review","Stable"))</x:f>
        <x:v>Growing</x:v>
      </x:c>
    </x:row>
    <x:row r="45">
      <x:c r="A45" s="61" t="n">
        <x:v>40</x:v>
      </x:c>
      <x:c r="B45" s="76" t="n">
        <x:v>3504945</x:v>
      </x:c>
      <x:c r="C45" s="76" t="n">
        <x:v>51456</x:v>
      </x:c>
      <x:c r="D45" s="76" t="n">
        <x:v>3062849</x:v>
      </x:c>
      <x:c r="E45" s="90" t="n">
        <x:f>IFERROR(B45/D45-1,"")</x:f>
        <x:v>0.14434142851965603</x:v>
      </x:c>
      <x:c r="F45" s="61" t="str">
        <x:v>Machala</x:v>
      </x:c>
      <x:c r="G45" s="61" t="str">
        <x:v>El Oro</x:v>
      </x:c>
      <x:c r="H45" s="61" t="str">
        <x:v>C</x:v>
      </x:c>
      <x:c r="I45" s="61" t="n">
        <x:v>3</x:v>
      </x:c>
      <x:c r="J45" s="61" t="str">
        <x:f>IF(E45&gt;=5%,"Growing",IF(E45&lt;=-5%,"Needs Review","Stable"))</x:f>
        <x:v>Growing</x:v>
      </x:c>
    </x:row>
    <x:row r="46">
      <x:c r="A46" s="61" t="n">
        <x:v>41</x:v>
      </x:c>
      <x:c r="B46" s="76" t="n">
        <x:v>2945114.2</x:v>
      </x:c>
      <x:c r="C46" s="76" t="n">
        <x:v>47077</x:v>
      </x:c>
      <x:c r="D46" s="76" t="n">
        <x:v>2367288.2</x:v>
      </x:c>
      <x:c r="E46" s="90" t="n">
        <x:f>IFERROR(B46/D46-1,"")</x:f>
        <x:v>0.244087728735352</x:v>
      </x:c>
      <x:c r="F46" s="61" t="str">
        <x:v>Machala</x:v>
      </x:c>
      <x:c r="G46" s="61" t="str">
        <x:v>El Oro</x:v>
      </x:c>
      <x:c r="H46" s="61" t="str">
        <x:v>D</x:v>
      </x:c>
      <x:c r="I46" s="61" t="n">
        <x:v>4</x:v>
      </x:c>
      <x:c r="J46" s="61" t="str">
        <x:f>IF(E46&gt;=5%,"Growing",IF(E46&lt;=-5%,"Needs Review","Stable"))</x:f>
        <x:v>Growing</x:v>
      </x:c>
    </x:row>
    <x:row r="47">
      <x:c r="A47" s="61" t="n">
        <x:v>42</x:v>
      </x:c>
      <x:c r="B47" s="76" t="n">
        <x:v>3065485</x:v>
      </x:c>
      <x:c r="C47" s="76" t="n">
        <x:v>48266</x:v>
      </x:c>
      <x:c r="D47" s="76" t="n">
        <x:v>2576717.8</x:v>
      </x:c>
      <x:c r="E47" s="90" t="n">
        <x:f>IFERROR(B47/D47-1,"")</x:f>
        <x:v>0.1896859640586177</x:v>
      </x:c>
      <x:c r="F47" s="61" t="str">
        <x:v>Cuenca</x:v>
      </x:c>
      <x:c r="G47" s="61" t="str">
        <x:v>Azuay</x:v>
      </x:c>
      <x:c r="H47" s="61" t="str">
        <x:v>D</x:v>
      </x:c>
      <x:c r="I47" s="61" t="n">
        <x:v>2</x:v>
      </x:c>
      <x:c r="J47" s="61" t="str">
        <x:f>IF(E47&gt;=5%,"Growing",IF(E47&lt;=-5%,"Needs Review","Stable"))</x:f>
        <x:v>Growing</x:v>
      </x:c>
    </x:row>
    <x:row r="48">
      <x:c r="A48" s="61" t="n">
        <x:v>43</x:v>
      </x:c>
      <x:c r="B48" s="76" t="n">
        <x:v>3286373.8</x:v>
      </x:c>
      <x:c r="C48" s="76" t="n">
        <x:v>53653</x:v>
      </x:c>
      <x:c r="D48" s="76" t="n">
        <x:v>2402636.5</x:v>
      </x:c>
      <x:c r="E48" s="90" t="n">
        <x:f>IFERROR(B48/D48-1,"")</x:f>
        <x:v>0.3678198096133143</x:v>
      </x:c>
      <x:c r="F48" s="61" t="str">
        <x:v>Esmeraldas</x:v>
      </x:c>
      <x:c r="G48" s="61" t="str">
        <x:v>Esmeraldas</x:v>
      </x:c>
      <x:c r="H48" s="61" t="str">
        <x:v>E</x:v>
      </x:c>
      <x:c r="I48" s="61" t="n">
        <x:v>10</x:v>
      </x:c>
      <x:c r="J48" s="61" t="str">
        <x:f>IF(E48&gt;=5%,"Growing",IF(E48&lt;=-5%,"Needs Review","Stable"))</x:f>
        <x:v>Growing</x:v>
      </x:c>
    </x:row>
    <x:row r="49">
      <x:c r="A49" s="61" t="n">
        <x:v>44</x:v>
      </x:c>
      <x:c r="B49" s="76" t="n">
        <x:v>10490120</x:v>
      </x:c>
      <x:c r="C49" s="76" t="n">
        <x:v>62435</x:v>
      </x:c>
      <x:c r="D49" s="76" t="n">
        <x:v>9842087</x:v>
      </x:c>
      <x:c r="E49" s="90" t="n">
        <x:f>IFERROR(B49/D49-1,"")</x:f>
        <x:v>0.06584304731303425</x:v>
      </x:c>
      <x:c r="F49" s="61" t="str">
        <x:v>Quito</x:v>
      </x:c>
      <x:c r="G49" s="61" t="str">
        <x:v>Pichincha</x:v>
      </x:c>
      <x:c r="H49" s="61" t="str">
        <x:v>A</x:v>
      </x:c>
      <x:c r="I49" s="61" t="n">
        <x:v>5</x:v>
      </x:c>
      <x:c r="J49" s="61" t="str">
        <x:f>IF(E49&gt;=5%,"Growing",IF(E49&lt;=-5%,"Needs Review","Stable"))</x:f>
        <x:v>Growing</x:v>
      </x:c>
    </x:row>
    <x:row r="50">
      <x:c r="A50" s="61" t="n">
        <x:v>45</x:v>
      </x:c>
      <x:c r="B50" s="76" t="n">
        <x:v>9655921</x:v>
      </x:c>
      <x:c r="C50" s="76" t="n">
        <x:v>62149</x:v>
      </x:c>
      <x:c r="D50" s="76" t="n">
        <x:v>8775486</x:v>
      </x:c>
      <x:c r="E50" s="90" t="n">
        <x:f>IFERROR(B50/D50-1,"")</x:f>
        <x:v>0.10032891625603413</x:v>
      </x:c>
      <x:c r="F50" s="61" t="str">
        <x:v>Quito</x:v>
      </x:c>
      <x:c r="G50" s="61" t="str">
        <x:v>Pichincha</x:v>
      </x:c>
      <x:c r="H50" s="61" t="str">
        <x:v>A</x:v>
      </x:c>
      <x:c r="I50" s="61" t="n">
        <x:v>11</x:v>
      </x:c>
      <x:c r="J50" s="61" t="str">
        <x:f>IF(E50&gt;=5%,"Growing",IF(E50&lt;=-5%,"Needs Review","Stable"))</x:f>
        <x:v>Growing</x:v>
      </x:c>
    </x:row>
    <x:row r="51">
      <x:c r="A51" s="61" t="n">
        <x:v>46</x:v>
      </x:c>
      <x:c r="B51" s="76" t="n">
        <x:v>7237324</x:v>
      </x:c>
      <x:c r="C51" s="76" t="n">
        <x:v>61213</x:v>
      </x:c>
      <x:c r="D51" s="76" t="n">
        <x:v>6153389</x:v>
      </x:c>
      <x:c r="E51" s="90" t="n">
        <x:f>IFERROR(B51/D51-1,"")</x:f>
        <x:v>0.1761525234305843</x:v>
      </x:c>
      <x:c r="F51" s="61" t="str">
        <x:v>Quito</x:v>
      </x:c>
      <x:c r="G51" s="61" t="str">
        <x:v>Pichincha</x:v>
      </x:c>
      <x:c r="H51" s="61" t="str">
        <x:v>A</x:v>
      </x:c>
      <x:c r="I51" s="61" t="n">
        <x:v>14</x:v>
      </x:c>
      <x:c r="J51" s="61" t="str">
        <x:f>IF(E51&gt;=5%,"Growing",IF(E51&lt;=-5%,"Needs Review","Stable"))</x:f>
        <x:v>Growing</x:v>
      </x:c>
    </x:row>
    <x:row r="52">
      <x:c r="A52" s="61" t="n">
        <x:v>47</x:v>
      </x:c>
      <x:c r="B52" s="76" t="n">
        <x:v>9069118</x:v>
      </x:c>
      <x:c r="C52" s="76" t="n">
        <x:v>62200</x:v>
      </x:c>
      <x:c r="D52" s="76" t="n">
        <x:v>8022611</x:v>
      </x:c>
      <x:c r="E52" s="90" t="n">
        <x:f>IFERROR(B52/D52-1,"")</x:f>
        <x:v>0.1304446893910225</x:v>
      </x:c>
      <x:c r="F52" s="61" t="str">
        <x:v>Quito</x:v>
      </x:c>
      <x:c r="G52" s="61" t="str">
        <x:v>Pichincha</x:v>
      </x:c>
      <x:c r="H52" s="61" t="str">
        <x:v>A</x:v>
      </x:c>
      <x:c r="I52" s="61" t="n">
        <x:v>14</x:v>
      </x:c>
      <x:c r="J52" s="61" t="str">
        <x:f>IF(E52&gt;=5%,"Growing",IF(E52&lt;=-5%,"Needs Review","Stable"))</x:f>
        <x:v>Growing</x:v>
      </x:c>
    </x:row>
    <x:row r="53">
      <x:c r="A53" s="61" t="n">
        <x:v>48</x:v>
      </x:c>
      <x:c r="B53" s="76" t="n">
        <x:v>6016146.5</x:v>
      </x:c>
      <x:c r="C53" s="76" t="n">
        <x:v>59220</x:v>
      </x:c>
      <x:c r="D53" s="76" t="n">
        <x:v>5385663.5</x:v>
      </x:c>
      <x:c r="E53" s="90" t="n">
        <x:f>IFERROR(B53/D53-1,"")</x:f>
        <x:v>0.11706691292539917</x:v>
      </x:c>
      <x:c r="F53" s="61" t="str">
        <x:v>Quito</x:v>
      </x:c>
      <x:c r="G53" s="61" t="str">
        <x:v>Pichincha</x:v>
      </x:c>
      <x:c r="H53" s="61" t="str">
        <x:v>A</x:v>
      </x:c>
      <x:c r="I53" s="61" t="n">
        <x:v>14</x:v>
      </x:c>
      <x:c r="J53" s="61" t="str">
        <x:f>IF(E53&gt;=5%,"Growing",IF(E53&lt;=-5%,"Needs Review","Stable"))</x:f>
        <x:v>Growing</x:v>
      </x:c>
    </x:row>
    <x:row r="54">
      <x:c r="A54" s="61" t="n">
        <x:v>49</x:v>
      </x:c>
      <x:c r="B54" s="76" t="n">
        <x:v>8384248.5</x:v>
      </x:c>
      <x:c r="C54" s="76" t="n">
        <x:v>60654</x:v>
      </x:c>
      <x:c r="D54" s="76" t="n">
        <x:v>7544215.5</x:v>
      </x:c>
      <x:c r="E54" s="90" t="n">
        <x:f>IFERROR(B54/D54-1,"")</x:f>
        <x:v>0.11134795924108998</x:v>
      </x:c>
      <x:c r="F54" s="61" t="str">
        <x:v>Quito</x:v>
      </x:c>
      <x:c r="G54" s="61" t="str">
        <x:v>Pichincha</x:v>
      </x:c>
      <x:c r="H54" s="61" t="str">
        <x:v>A</x:v>
      </x:c>
      <x:c r="I54" s="61" t="n">
        <x:v>11</x:v>
      </x:c>
      <x:c r="J54" s="61" t="str">
        <x:f>IF(E54&gt;=5%,"Growing",IF(E54&lt;=-5%,"Needs Review","Stable"))</x:f>
        <x:v>Growing</x:v>
      </x:c>
    </x:row>
    <x:row r="55">
      <x:c r="A55" s="61" t="n">
        <x:v>50</x:v>
      </x:c>
      <x:c r="B55" s="76" t="n">
        <x:v>4915228</x:v>
      </x:c>
      <x:c r="C55" s="76" t="n">
        <x:v>56373</x:v>
      </x:c>
      <x:c r="D55" s="76" t="n">
        <x:v>4262912</x:v>
      </x:c>
      <x:c r="E55" s="90" t="n">
        <x:f>IFERROR(B55/D55-1,"")</x:f>
        <x:v>0.15302122117463357</x:v>
      </x:c>
      <x:c r="F55" s="61" t="str">
        <x:v>Ambato</x:v>
      </x:c>
      <x:c r="G55" s="61" t="str">
        <x:v>Tungurahua</x:v>
      </x:c>
      <x:c r="H55" s="61" t="str">
        <x:v>A</x:v>
      </x:c>
      <x:c r="I55" s="61" t="n">
        <x:v>14</x:v>
      </x:c>
      <x:c r="J55" s="61" t="str">
        <x:f>IF(E55&gt;=5%,"Growing",IF(E55&lt;=-5%,"Needs Review","Stable"))</x:f>
        <x:v>Growing</x:v>
      </x:c>
    </x:row>
    <x:row r="56">
      <x:c r="A56" s="61" t="n">
        <x:v>51</x:v>
      </x:c>
      <x:c r="B56" s="76" t="n">
        <x:v>5364285</x:v>
      </x:c>
      <x:c r="C56" s="76" t="n">
        <x:v>52582</x:v>
      </x:c>
      <x:c r="D56" s="76" t="n">
        <x:v>5242392.5</x:v>
      </x:c>
      <x:c r="E56" s="90" t="n">
        <x:f>IFERROR(B56/D56-1,"")</x:f>
        <x:v>0.023251311304905098</x:v>
      </x:c>
      <x:c r="F56" s="61" t="str">
        <x:v>Guayaquil</x:v>
      </x:c>
      <x:c r="G56" s="61" t="str">
        <x:v>Guayas</x:v>
      </x:c>
      <x:c r="H56" s="61" t="str">
        <x:v>A</x:v>
      </x:c>
      <x:c r="I56" s="61" t="n">
        <x:v>17</x:v>
      </x:c>
      <x:c r="J56" s="61" t="str">
        <x:f>IF(E56&gt;=5%,"Growing",IF(E56&lt;=-5%,"Needs Review","Stable"))</x:f>
        <x:v>Stable</x:v>
      </x:c>
    </x:row>
    <x:row r="57">
      <x:c r="A57" s="61" t="n">
        <x:v>52</x:v>
      </x:c>
      <x:c r="B57" s="76" t="n">
        <x:v>2696169.8</x:v>
      </x:c>
      <x:c r="C57" s="76" t="n">
        <x:v>30814</x:v>
      </x:c>
      <x:c r="D57" s="76" t="n">
        <x:v>0</x:v>
      </x:c>
      <x:c r="E57" s="90" t="str">
        <x:f>IFERROR(B57/D57-1,"")</x:f>
      </x:c>
      <x:c r="F57" s="61" t="str">
        <x:v>Manta</x:v>
      </x:c>
      <x:c r="G57" s="61" t="str">
        <x:v>Manabi</x:v>
      </x:c>
      <x:c r="H57" s="61" t="str">
        <x:v>A</x:v>
      </x:c>
      <x:c r="I57" s="61" t="n">
        <x:v>11</x:v>
      </x:c>
      <x:c r="J57" s="61" t="str">
        <x:f>IF(E57&gt;=5%,"Growing",IF(E57&lt;=-5%,"Needs Review","Stable"))</x:f>
        <x:v>Stable</x:v>
      </x:c>
    </x:row>
    <x:row r="58">
      <x:c r="A58" s="61" t="n">
        <x:v>53</x:v>
      </x:c>
      <x:c r="B58" s="76" t="n">
        <x:v>2711539.2</x:v>
      </x:c>
      <x:c r="C58" s="76" t="n">
        <x:v>46680</x:v>
      </x:c>
      <x:c r="D58" s="76" t="n">
        <x:v>2853694</x:v>
      </x:c>
      <x:c r="E58" s="90" t="n">
        <x:f>IFERROR(B58/D58-1,"")</x:f>
        <x:v>-0.049814310854632615</x:v>
      </x:c>
      <x:c r="F58" s="61" t="str">
        <x:v>Manta</x:v>
      </x:c>
      <x:c r="G58" s="61" t="str">
        <x:v>Manabi</x:v>
      </x:c>
      <x:c r="H58" s="61" t="str">
        <x:v>D</x:v>
      </x:c>
      <x:c r="I58" s="61" t="n">
        <x:v>13</x:v>
      </x:c>
      <x:c r="J58" s="61" t="str">
        <x:f>IF(E58&gt;=5%,"Growing",IF(E58&lt;=-5%,"Needs Review","Stable"))</x:f>
        <x:v>Stable</x:v>
      </x:c>
    </x:row>
    <x:row r="59">
      <x:c r="A59" s="61" t="n">
        <x:v>54</x:v>
      </x:c>
      <x:c r="B59" s="76" t="n">
        <x:v>2069327.6</x:v>
      </x:c>
      <x:c r="C59" s="76" t="n">
        <x:v>40570</x:v>
      </x:c>
      <x:c r="D59" s="76" t="n">
        <x:v>1776552.4</x:v>
      </x:c>
      <x:c r="E59" s="90" t="n">
        <x:f>IFERROR(B59/D59-1,"")</x:f>
        <x:v>0.16479964227342814</x:v>
      </x:c>
      <x:c r="F59" s="61" t="str">
        <x:v>El Carmen</x:v>
      </x:c>
      <x:c r="G59" s="61" t="str">
        <x:v>Manabi</x:v>
      </x:c>
      <x:c r="H59" s="61" t="str">
        <x:v>C</x:v>
      </x:c>
      <x:c r="I59" s="61" t="n">
        <x:v>3</x:v>
      </x:c>
      <x:c r="J59" s="61" t="str">
        <x:f>IF(E59&gt;=5%,"Growing",IF(E59&lt;=-5%,"Needs Review","Stable"))</x:f>
        <x:v>Growing</x:v>
      </x:c>
    </x:row>
  </x:sheetData>
  <x:mergeCells>
    <x:mergeCell ref="A1:J2"/>
    <x:mergeCell ref="A3:J3"/>
  </x:mergeCells>
  <x:conditionalFormatting sqref="J6:J59">
    <x:cfRule type="containsText" dxfId="0" priority="1" operator="containsText" text="Needs Review"/>
    <x:cfRule type="containsText" dxfId="1" priority="2" operator="containsText" text="Growing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0" customHeight="1">
      <x:c r="A1" s="59" t="str">
        <x:v>Forecast Monitoring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28" customHeight="1">
      <x:c r="A3" s="60" t="str">
        <x:v>Leakage-safe 16-day holdout: 31 July–15 August 2017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</x:row>
    <x:row r="4">
      <x:c r="A4" s="61"/>
      <x:c r="B4" s="61"/>
      <x:c r="C4" s="61"/>
      <x:c r="D4" s="61"/>
      <x:c r="E4" s="61"/>
      <x:c r="F4" s="61"/>
      <x:c r="G4" s="61"/>
      <x:c r="H4" s="61"/>
      <x:c r="I4" s="61"/>
      <x:c r="J4" s="61"/>
      <x:c r="K4" s="61"/>
    </x:row>
    <x:row r="5">
      <x:c r="A5" s="73" t="str">
        <x:v>Store</x:v>
      </x:c>
      <x:c r="B5" s="74" t="str">
        <x:v>Actual Sales</x:v>
      </x:c>
      <x:c r="C5" s="74" t="str">
        <x:v>Forecast Sales</x:v>
      </x:c>
      <x:c r="D5" s="74" t="str">
        <x:v>Absolute Error</x:v>
      </x:c>
      <x:c r="E5" s="74" t="str">
        <x:v>Bias</x:v>
      </x:c>
      <x:c r="F5" s="74" t="str">
        <x:v>WAPE</x:v>
      </x:c>
      <x:c r="G5" s="74" t="str">
        <x:v>Forecast Accuracy</x:v>
      </x:c>
      <x:c r="H5" s="74" t="str">
        <x:v>City</x:v>
      </x:c>
      <x:c r="I5" s="74" t="str">
        <x:v>State</x:v>
      </x:c>
      <x:c r="J5" s="74" t="str">
        <x:v>Type</x:v>
      </x:c>
      <x:c r="K5" s="75" t="str">
        <x:v>Cluster</x:v>
      </x:c>
    </x:row>
    <x:row r="6">
      <x:c r="A6" s="61" t="n">
        <x:v>1</x:v>
      </x:c>
      <x:c r="B6" s="76" t="n">
        <x:v>155135.62</x:v>
      </x:c>
      <x:c r="C6" s="76" t="n">
        <x:v>168502.71727776527</x:v>
      </x:c>
      <x:c r="D6" s="76" t="n">
        <x:v>25088.260471582413</x:v>
      </x:c>
      <x:c r="E6" s="90" t="n">
        <x:f>IFERROR((C6-B6)/B6,"")</x:f>
        <x:v>0.08616394660211033</x:v>
      </x:c>
      <x:c r="F6" s="90" t="n">
        <x:f>IFERROR(D6/B6,"")</x:f>
        <x:v>0.16171824672878102</x:v>
      </x:c>
      <x:c r="G6" s="90" t="n">
        <x:f>MAX(0,1-F6)</x:f>
        <x:v>0.838281753271219</x:v>
      </x:c>
      <x:c r="H6" s="61" t="str">
        <x:v>Quito</x:v>
      </x:c>
      <x:c r="I6" s="61" t="str">
        <x:v>Pichincha</x:v>
      </x:c>
      <x:c r="J6" s="61" t="str">
        <x:v>D</x:v>
      </x:c>
      <x:c r="K6" s="61" t="n">
        <x:v>13</x:v>
      </x:c>
    </x:row>
    <x:row r="7">
      <x:c r="A7" s="61" t="n">
        <x:v>2</x:v>
      </x:c>
      <x:c r="B7" s="76" t="n">
        <x:v>213634.6</x:v>
      </x:c>
      <x:c r="C7" s="76" t="n">
        <x:v>232989.94106793404</x:v>
      </x:c>
      <x:c r="D7" s="76" t="n">
        <x:v>35445.30922961235</x:v>
      </x:c>
      <x:c r="E7" s="90" t="n">
        <x:f>IFERROR((C7-B7)/B7,"")</x:f>
        <x:v>0.09060021676233171</x:v>
      </x:c>
      <x:c r="F7" s="90" t="n">
        <x:f>IFERROR(D7/B7,"")</x:f>
        <x:v>0.16591558310129703</x:v>
      </x:c>
      <x:c r="G7" s="90" t="n">
        <x:f>MAX(0,1-F7)</x:f>
        <x:v>0.8340844168987029</x:v>
      </x:c>
      <x:c r="H7" s="61" t="str">
        <x:v>Quito</x:v>
      </x:c>
      <x:c r="I7" s="61" t="str">
        <x:v>Pichincha</x:v>
      </x:c>
      <x:c r="J7" s="61" t="str">
        <x:v>D</x:v>
      </x:c>
      <x:c r="K7" s="61" t="n">
        <x:v>13</x:v>
      </x:c>
    </x:row>
    <x:row r="8">
      <x:c r="A8" s="61" t="n">
        <x:v>3</x:v>
      </x:c>
      <x:c r="B8" s="76" t="n">
        <x:v>538086.8</x:v>
      </x:c>
      <x:c r="C8" s="76" t="n">
        <x:v>570856.1906681061</x:v>
      </x:c>
      <x:c r="D8" s="76" t="n">
        <x:v>64068.4303188324</x:v>
      </x:c>
      <x:c r="E8" s="90" t="n">
        <x:f>IFERROR((C8-B8)/B8,"")</x:f>
        <x:v>0.060899822608742736</x:v>
      </x:c>
      <x:c r="F8" s="90" t="n">
        <x:f>IFERROR(D8/B8,"")</x:f>
        <x:v>0.11906709162691297</x:v>
      </x:c>
      <x:c r="G8" s="90" t="n">
        <x:f>MAX(0,1-F8)</x:f>
        <x:v>0.880932908373087</x:v>
      </x:c>
      <x:c r="H8" s="61" t="str">
        <x:v>Quito</x:v>
      </x:c>
      <x:c r="I8" s="61" t="str">
        <x:v>Pichincha</x:v>
      </x:c>
      <x:c r="J8" s="61" t="str">
        <x:v>D</x:v>
      </x:c>
      <x:c r="K8" s="61" t="n">
        <x:v>8</x:v>
      </x:c>
    </x:row>
    <x:row r="9">
      <x:c r="A9" s="61" t="n">
        <x:v>4</x:v>
      </x:c>
      <x:c r="B9" s="76" t="n">
        <x:v>187479.34</x:v>
      </x:c>
      <x:c r="C9" s="76" t="n">
        <x:v>198053.6654396057</x:v>
      </x:c>
      <x:c r="D9" s="76" t="n">
        <x:v>30264.480926036835</x:v>
      </x:c>
      <x:c r="E9" s="90" t="n">
        <x:f>IFERROR((C9-B9)/B9,"")</x:f>
        <x:v>0.05640261716094006</x:v>
      </x:c>
      <x:c r="F9" s="90" t="n">
        <x:f>IFERROR(D9/B9,"")</x:f>
        <x:v>0.16142835219089652</x:v>
      </x:c>
      <x:c r="G9" s="90" t="n">
        <x:f>MAX(0,1-F9)</x:f>
        <x:v>0.8385716478091034</x:v>
      </x:c>
      <x:c r="H9" s="61" t="str">
        <x:v>Quito</x:v>
      </x:c>
      <x:c r="I9" s="61" t="str">
        <x:v>Pichincha</x:v>
      </x:c>
      <x:c r="J9" s="61" t="str">
        <x:v>D</x:v>
      </x:c>
      <x:c r="K9" s="61" t="n">
        <x:v>9</x:v>
      </x:c>
    </x:row>
    <x:row r="10">
      <x:c r="A10" s="61" t="n">
        <x:v>5</x:v>
      </x:c>
      <x:c r="B10" s="76" t="n">
        <x:v>156442.88</x:v>
      </x:c>
      <x:c r="C10" s="76" t="n">
        <x:v>164426.07950651646</x:v>
      </x:c>
      <x:c r="D10" s="76" t="n">
        <x:v>23843.075016379356</x:v>
      </x:c>
      <x:c r="E10" s="90" t="n">
        <x:f>IFERROR((C10-B10)/B10,"")</x:f>
        <x:v>0.05102948441320213</x:v>
      </x:c>
      <x:c r="F10" s="90" t="n">
        <x:f>IFERROR(D10/B10,"")</x:f>
        <x:v>0.15240754335626752</x:v>
      </x:c>
      <x:c r="G10" s="90" t="n">
        <x:f>MAX(0,1-F10)</x:f>
        <x:v>0.8475924566437325</x:v>
      </x:c>
      <x:c r="H10" s="61" t="str">
        <x:v>Santo Domingo</x:v>
      </x:c>
      <x:c r="I10" s="61" t="str">
        <x:v>Santo Domingo de los Tsachilas</x:v>
      </x:c>
      <x:c r="J10" s="61" t="str">
        <x:v>D</x:v>
      </x:c>
      <x:c r="K10" s="61" t="n">
        <x:v>4</x:v>
      </x:c>
    </x:row>
    <x:row r="11">
      <x:c r="A11" s="61" t="n">
        <x:v>6</x:v>
      </x:c>
      <x:c r="B11" s="76" t="n">
        <x:v>257699.86</x:v>
      </x:c>
      <x:c r="C11" s="76" t="n">
        <x:v>270891.4342777729</x:v>
      </x:c>
      <x:c r="D11" s="76" t="n">
        <x:v>33224.429493665695</x:v>
      </x:c>
      <x:c r="E11" s="90" t="n">
        <x:f>IFERROR((C11-B11)/B11,"")</x:f>
        <x:v>0.05118968352475208</x:v>
      </x:c>
      <x:c r="F11" s="90" t="n">
        <x:f>IFERROR(D11/B11,"")</x:f>
        <x:v>0.12892684339706548</x:v>
      </x:c>
      <x:c r="G11" s="90" t="n">
        <x:f>MAX(0,1-F11)</x:f>
        <x:v>0.8710731566029345</x:v>
      </x:c>
      <x:c r="H11" s="61" t="str">
        <x:v>Quito</x:v>
      </x:c>
      <x:c r="I11" s="61" t="str">
        <x:v>Pichincha</x:v>
      </x:c>
      <x:c r="J11" s="61" t="str">
        <x:v>D</x:v>
      </x:c>
      <x:c r="K11" s="61" t="n">
        <x:v>13</x:v>
      </x:c>
    </x:row>
    <x:row r="12">
      <x:c r="A12" s="61" t="n">
        <x:v>7</x:v>
      </x:c>
      <x:c r="B12" s="76" t="n">
        <x:v>286238.03</x:v>
      </x:c>
      <x:c r="C12" s="76" t="n">
        <x:v>305655.0368690491</x:v>
      </x:c>
      <x:c r="D12" s="76" t="n">
        <x:v>35017.055377960205</x:v>
      </x:c>
      <x:c r="E12" s="90" t="n">
        <x:f>IFERROR((C12-B12)/B12,"")</x:f>
        <x:v>0.06783517504312422</x:v>
      </x:c>
      <x:c r="F12" s="90" t="n">
        <x:f>IFERROR(D12/B12,"")</x:f>
        <x:v>0.12233544011590704</x:v>
      </x:c>
      <x:c r="G12" s="90" t="n">
        <x:f>MAX(0,1-F12)</x:f>
        <x:v>0.877664559884093</x:v>
      </x:c>
      <x:c r="H12" s="61" t="str">
        <x:v>Quito</x:v>
      </x:c>
      <x:c r="I12" s="61" t="str">
        <x:v>Pichincha</x:v>
      </x:c>
      <x:c r="J12" s="61" t="str">
        <x:v>D</x:v>
      </x:c>
      <x:c r="K12" s="61" t="n">
        <x:v>8</x:v>
      </x:c>
    </x:row>
    <x:row r="13">
      <x:c r="A13" s="61" t="n">
        <x:v>8</x:v>
      </x:c>
      <x:c r="B13" s="76" t="n">
        <x:v>324826.4</x:v>
      </x:c>
      <x:c r="C13" s="76" t="n">
        <x:v>338029.865111351</x:v>
      </x:c>
      <x:c r="D13" s="76" t="n">
        <x:v>37018.084765434265</x:v>
      </x:c>
      <x:c r="E13" s="90" t="n">
        <x:f>IFERROR((C13-B13)/B13,"")</x:f>
        <x:v>0.04064775865308666</x:v>
      </x:c>
      <x:c r="F13" s="90" t="n">
        <x:f>IFERROR(D13/B13,"")</x:f>
        <x:v>0.11396267287829519</x:v>
      </x:c>
      <x:c r="G13" s="90" t="n">
        <x:f>MAX(0,1-F13)</x:f>
        <x:v>0.8860373271217048</x:v>
      </x:c>
      <x:c r="H13" s="61" t="str">
        <x:v>Quito</x:v>
      </x:c>
      <x:c r="I13" s="61" t="str">
        <x:v>Pichincha</x:v>
      </x:c>
      <x:c r="J13" s="61" t="str">
        <x:v>D</x:v>
      </x:c>
      <x:c r="K13" s="61" t="n">
        <x:v>8</x:v>
      </x:c>
    </x:row>
    <x:row r="14">
      <x:c r="A14" s="61" t="n">
        <x:v>9</x:v>
      </x:c>
      <x:c r="B14" s="76" t="n">
        <x:v>303853.38</x:v>
      </x:c>
      <x:c r="C14" s="76" t="n">
        <x:v>270085.39430999756</x:v>
      </x:c>
      <x:c r="D14" s="76" t="n">
        <x:v>58571.01647090912</x:v>
      </x:c>
      <x:c r="E14" s="90" t="n">
        <x:f>IFERROR((C14-B14)/B14,"")</x:f>
        <x:v>-0.11113249979316486</x:v>
      </x:c>
      <x:c r="F14" s="90" t="n">
        <x:f>IFERROR(D14/B14,"")</x:f>
        <x:v>0.19276078637304978</x:v>
      </x:c>
      <x:c r="G14" s="90" t="n">
        <x:f>MAX(0,1-F14)</x:f>
        <x:v>0.8072392136269502</x:v>
      </x:c>
      <x:c r="H14" s="61" t="str">
        <x:v>Quito</x:v>
      </x:c>
      <x:c r="I14" s="61" t="str">
        <x:v>Pichincha</x:v>
      </x:c>
      <x:c r="J14" s="61" t="str">
        <x:v>B</x:v>
      </x:c>
      <x:c r="K14" s="61" t="n">
        <x:v>6</x:v>
      </x:c>
    </x:row>
    <x:row r="15">
      <x:c r="A15" s="61" t="n">
        <x:v>10</x:v>
      </x:c>
      <x:c r="B15" s="76" t="n">
        <x:v>114855.5</x:v>
      </x:c>
      <x:c r="C15" s="76" t="n">
        <x:v>96024.46769714355</x:v>
      </x:c>
      <x:c r="D15" s="76" t="n">
        <x:v>24370.398796081543</x:v>
      </x:c>
      <x:c r="E15" s="90" t="n">
        <x:f>IFERROR((C15-B15)/B15,"")</x:f>
        <x:v>-0.16395411889597317</x:v>
      </x:c>
      <x:c r="F15" s="90" t="n">
        <x:f>IFERROR(D15/B15,"")</x:f>
        <x:v>0.21218312397822955</x:v>
      </x:c>
      <x:c r="G15" s="90" t="n">
        <x:f>MAX(0,1-F15)</x:f>
        <x:v>0.7878168760217704</x:v>
      </x:c>
      <x:c r="H15" s="61" t="str">
        <x:v>Quito</x:v>
      </x:c>
      <x:c r="I15" s="61" t="str">
        <x:v>Pichincha</x:v>
      </x:c>
      <x:c r="J15" s="61" t="str">
        <x:v>C</x:v>
      </x:c>
      <x:c r="K15" s="61" t="n">
        <x:v>15</x:v>
      </x:c>
    </x:row>
    <x:row r="16">
      <x:c r="A16" s="61" t="n">
        <x:v>11</x:v>
      </x:c>
      <x:c r="B16" s="76" t="n">
        <x:v>340283.8</x:v>
      </x:c>
      <x:c r="C16" s="76" t="n">
        <x:v>300579.74986839294</x:v>
      </x:c>
      <x:c r="D16" s="76" t="n">
        <x:v>61664.47721862793</x:v>
      </x:c>
      <x:c r="E16" s="90" t="n">
        <x:f>IFERROR((C16-B16)/B16,"")</x:f>
        <x:v>-0.11667922519851678</x:v>
      </x:c>
      <x:c r="F16" s="90" t="n">
        <x:f>IFERROR(D16/B16,"")</x:f>
        <x:v>0.1812148483666514</x:v>
      </x:c>
      <x:c r="G16" s="90" t="n">
        <x:f>MAX(0,1-F16)</x:f>
        <x:v>0.8187851516333486</x:v>
      </x:c>
      <x:c r="H16" s="61" t="str">
        <x:v>Cayambe</x:v>
      </x:c>
      <x:c r="I16" s="61" t="str">
        <x:v>Pichincha</x:v>
      </x:c>
      <x:c r="J16" s="61" t="str">
        <x:v>B</x:v>
      </x:c>
      <x:c r="K16" s="61" t="n">
        <x:v>6</x:v>
      </x:c>
    </x:row>
    <x:row r="17">
      <x:c r="A17" s="61" t="n">
        <x:v>12</x:v>
      </x:c>
      <x:c r="B17" s="76" t="n">
        <x:v>123828.41</x:v>
      </x:c>
      <x:c r="C17" s="76" t="n">
        <x:v>118253.54811096191</x:v>
      </x:c>
      <x:c r="D17" s="76" t="n">
        <x:v>21664.566146850586</x:v>
      </x:c>
      <x:c r="E17" s="90" t="n">
        <x:f>IFERROR((C17-B17)/B17,"")</x:f>
        <x:v>-0.045020863055885874</x:v>
      </x:c>
      <x:c r="F17" s="90" t="n">
        <x:f>IFERROR(D17/B17,"")</x:f>
        <x:v>0.1749563460182569</x:v>
      </x:c>
      <x:c r="G17" s="90" t="n">
        <x:f>MAX(0,1-F17)</x:f>
        <x:v>0.8250436539817431</x:v>
      </x:c>
      <x:c r="H17" s="61" t="str">
        <x:v>Latacunga</x:v>
      </x:c>
      <x:c r="I17" s="61" t="str">
        <x:v>Cotopaxi</x:v>
      </x:c>
      <x:c r="J17" s="61" t="str">
        <x:v>C</x:v>
      </x:c>
      <x:c r="K17" s="61" t="n">
        <x:v>15</x:v>
      </x:c>
    </x:row>
    <x:row r="18">
      <x:c r="A18" s="61" t="n">
        <x:v>13</x:v>
      </x:c>
      <x:c r="B18" s="76" t="n">
        <x:v>114921.914</x:v>
      </x:c>
      <x:c r="C18" s="76" t="n">
        <x:v>101368.6212515831</x:v>
      </x:c>
      <x:c r="D18" s="76" t="n">
        <x:v>21956.71846151352</x:v>
      </x:c>
      <x:c r="E18" s="90" t="n">
        <x:f>IFERROR((C18-B18)/B18,"")</x:f>
        <x:v>-0.11793479830502043</x:v>
      </x:c>
      <x:c r="F18" s="90" t="n">
        <x:f>IFERROR(D18/B18,"")</x:f>
        <x:v>0.1910577164727131</x:v>
      </x:c>
      <x:c r="G18" s="90" t="n">
        <x:f>MAX(0,1-F18)</x:f>
        <x:v>0.8089422835272869</x:v>
      </x:c>
      <x:c r="H18" s="61" t="str">
        <x:v>Latacunga</x:v>
      </x:c>
      <x:c r="I18" s="61" t="str">
        <x:v>Cotopaxi</x:v>
      </x:c>
      <x:c r="J18" s="61" t="str">
        <x:v>C</x:v>
      </x:c>
      <x:c r="K18" s="61" t="n">
        <x:v>15</x:v>
      </x:c>
    </x:row>
    <x:row r="19">
      <x:c r="A19" s="61" t="n">
        <x:v>14</x:v>
      </x:c>
      <x:c r="B19" s="76" t="n">
        <x:v>136648.14</x:v>
      </x:c>
      <x:c r="C19" s="76" t="n">
        <x:v>122732.96574497223</x:v>
      </x:c>
      <x:c r="D19" s="76" t="n">
        <x:v>29735.95023059845</x:v>
      </x:c>
      <x:c r="E19" s="90" t="n">
        <x:f>IFERROR((C19-B19)/B19,"")</x:f>
        <x:v>-0.10183215267348522</x:v>
      </x:c>
      <x:c r="F19" s="90" t="n">
        <x:f>IFERROR(D19/B19,"")</x:f>
        <x:v>0.2176096230113227</x:v>
      </x:c>
      <x:c r="G19" s="90" t="n">
        <x:f>MAX(0,1-F19)</x:f>
        <x:v>0.7823903769886773</x:v>
      </x:c>
      <x:c r="H19" s="61" t="str">
        <x:v>Riobamba</x:v>
      </x:c>
      <x:c r="I19" s="61" t="str">
        <x:v>Chimborazo</x:v>
      </x:c>
      <x:c r="J19" s="61" t="str">
        <x:v>C</x:v>
      </x:c>
      <x:c r="K19" s="61" t="n">
        <x:v>7</x:v>
      </x:c>
    </x:row>
    <x:row r="20">
      <x:c r="A20" s="61" t="n">
        <x:v>15</x:v>
      </x:c>
      <x:c r="B20" s="76" t="n">
        <x:v>125263.5</x:v>
      </x:c>
      <x:c r="C20" s="76" t="n">
        <x:v>121808.32842063904</x:v>
      </x:c>
      <x:c r="D20" s="76" t="n">
        <x:v>18060.998613357544</x:v>
      </x:c>
      <x:c r="E20" s="90" t="n">
        <x:f>IFERROR((C20-B20)/B20,"")</x:f>
        <x:v>-0.027583227191967027</x:v>
      </x:c>
      <x:c r="F20" s="90" t="n">
        <x:f>IFERROR(D20/B20,"")</x:f>
        <x:v>0.1441840489317123</x:v>
      </x:c>
      <x:c r="G20" s="90" t="n">
        <x:f>MAX(0,1-F20)</x:f>
        <x:v>0.8558159510682877</x:v>
      </x:c>
      <x:c r="H20" s="61" t="str">
        <x:v>Ibarra</x:v>
      </x:c>
      <x:c r="I20" s="61" t="str">
        <x:v>Imbabura</x:v>
      </x:c>
      <x:c r="J20" s="61" t="str">
        <x:v>C</x:v>
      </x:c>
      <x:c r="K20" s="61" t="n">
        <x:v>15</x:v>
      </x:c>
    </x:row>
    <x:row r="21">
      <x:c r="A21" s="61" t="n">
        <x:v>16</x:v>
      </x:c>
      <x:c r="B21" s="76" t="n">
        <x:v>104594.09</x:v>
      </x:c>
      <x:c r="C21" s="76" t="n">
        <x:v>97239.67449212074</x:v>
      </x:c>
      <x:c r="D21" s="76" t="n">
        <x:v>21138.379992723465</x:v>
      </x:c>
      <x:c r="E21" s="90" t="n">
        <x:f>IFERROR((C21-B21)/B21,"")</x:f>
        <x:v>-0.07031387249393588</x:v>
      </x:c>
      <x:c r="F21" s="90" t="n">
        <x:f>IFERROR(D21/B21,"")</x:f>
        <x:v>0.20209918163371818</x:v>
      </x:c>
      <x:c r="G21" s="90" t="n">
        <x:f>MAX(0,1-F21)</x:f>
        <x:v>0.7979008183662818</x:v>
      </x:c>
      <x:c r="H21" s="61" t="str">
        <x:v>Santo Domingo</x:v>
      </x:c>
      <x:c r="I21" s="61" t="str">
        <x:v>Santo Domingo de los Tsachilas</x:v>
      </x:c>
      <x:c r="J21" s="61" t="str">
        <x:v>C</x:v>
      </x:c>
      <x:c r="K21" s="61" t="n">
        <x:v>3</x:v>
      </x:c>
    </x:row>
    <x:row r="22">
      <x:c r="A22" s="61" t="n">
        <x:v>17</x:v>
      </x:c>
      <x:c r="B22" s="76" t="n">
        <x:v>220880.27</x:v>
      </x:c>
      <x:c r="C22" s="76" t="n">
        <x:v>216697.12941360474</x:v>
      </x:c>
      <x:c r="D22" s="76" t="n">
        <x:v>27690.445987701416</x:v>
      </x:c>
      <x:c r="E22" s="90" t="n">
        <x:f>IFERROR((C22-B22)/B22,"")</x:f>
        <x:v>-0.018938498157373918</x:v>
      </x:c>
      <x:c r="F22" s="90" t="n">
        <x:f>IFERROR(D22/B22,"")</x:f>
        <x:v>0.125364053510535</x:v>
      </x:c>
      <x:c r="G22" s="90" t="n">
        <x:f>MAX(0,1-F22)</x:f>
        <x:v>0.874635946489465</x:v>
      </x:c>
      <x:c r="H22" s="61" t="str">
        <x:v>Quito</x:v>
      </x:c>
      <x:c r="I22" s="61" t="str">
        <x:v>Pichincha</x:v>
      </x:c>
      <x:c r="J22" s="61" t="str">
        <x:v>C</x:v>
      </x:c>
      <x:c r="K22" s="61" t="n">
        <x:v>12</x:v>
      </x:c>
    </x:row>
    <x:row r="23">
      <x:c r="A23" s="61" t="n">
        <x:v>18</x:v>
      </x:c>
      <x:c r="B23" s="76" t="n">
        <x:v>162414.11</x:v>
      </x:c>
      <x:c r="C23" s="76" t="n">
        <x:v>164305.48364162445</x:v>
      </x:c>
      <x:c r="D23" s="76" t="n">
        <x:v>26469.326114416122</x:v>
      </x:c>
      <x:c r="E23" s="90" t="n">
        <x:f>IFERROR((C23-B23)/B23,"")</x:f>
        <x:v>0.01164537761912721</x:v>
      </x:c>
      <x:c r="F23" s="90" t="n">
        <x:f>IFERROR(D23/B23,"")</x:f>
        <x:v>0.16297430139792735</x:v>
      </x:c>
      <x:c r="G23" s="90" t="n">
        <x:f>MAX(0,1-F23)</x:f>
        <x:v>0.8370256986020727</x:v>
      </x:c>
      <x:c r="H23" s="61" t="str">
        <x:v>Quito</x:v>
      </x:c>
      <x:c r="I23" s="61" t="str">
        <x:v>Pichincha</x:v>
      </x:c>
      <x:c r="J23" s="61" t="str">
        <x:v>B</x:v>
      </x:c>
      <x:c r="K23" s="61" t="n">
        <x:v>16</x:v>
      </x:c>
    </x:row>
    <x:row r="24">
      <x:c r="A24" s="61" t="n">
        <x:v>19</x:v>
      </x:c>
      <x:c r="B24" s="76" t="n">
        <x:v>150509.45</x:v>
      </x:c>
      <x:c r="C24" s="76" t="n">
        <x:v>142169.87161827087</x:v>
      </x:c>
      <x:c r="D24" s="76" t="n">
        <x:v>22282.147506713867</x:v>
      </x:c>
      <x:c r="E24" s="90" t="n">
        <x:f>IFERROR((C24-B24)/B24,"")</x:f>
        <x:v>-0.055409001771843144</x:v>
      </x:c>
      <x:c r="F24" s="90" t="n">
        <x:f>IFERROR(D24/B24,"")</x:f>
        <x:v>0.148044840418418</x:v>
      </x:c>
      <x:c r="G24" s="90" t="n">
        <x:f>MAX(0,1-F24)</x:f>
        <x:v>0.851955159581582</x:v>
      </x:c>
      <x:c r="H24" s="61" t="str">
        <x:v>Guaranda</x:v>
      </x:c>
      <x:c r="I24" s="61" t="str">
        <x:v>Bolivar</x:v>
      </x:c>
      <x:c r="J24" s="61" t="str">
        <x:v>C</x:v>
      </x:c>
      <x:c r="K24" s="61" t="n">
        <x:v>15</x:v>
      </x:c>
    </x:row>
    <x:row r="25">
      <x:c r="A25" s="61" t="n">
        <x:v>20</x:v>
      </x:c>
      <x:c r="B25" s="76" t="n">
        <x:v>288872.72</x:v>
      </x:c>
      <x:c r="C25" s="76" t="n">
        <x:v>235024.85385930538</x:v>
      </x:c>
      <x:c r="D25" s="76" t="n">
        <x:v>69774.92459619045</x:v>
      </x:c>
      <x:c r="E25" s="90" t="n">
        <x:f>IFERROR((C25-B25)/B25,"")</x:f>
        <x:v>-0.1864068927681873</x:v>
      </x:c>
      <x:c r="F25" s="90" t="n">
        <x:f>IFERROR(D25/B25,"")</x:f>
        <x:v>0.24154210406642226</x:v>
      </x:c>
      <x:c r="G25" s="90" t="n">
        <x:f>MAX(0,1-F25)</x:f>
        <x:v>0.7584578959335777</x:v>
      </x:c>
      <x:c r="H25" s="61" t="str">
        <x:v>Quito</x:v>
      </x:c>
      <x:c r="I25" s="61" t="str">
        <x:v>Pichincha</x:v>
      </x:c>
      <x:c r="J25" s="61" t="str">
        <x:v>B</x:v>
      </x:c>
      <x:c r="K25" s="61" t="n">
        <x:v>6</x:v>
      </x:c>
    </x:row>
    <x:row r="26">
      <x:c r="A26" s="61" t="n">
        <x:v>21</x:v>
      </x:c>
      <x:c r="B26" s="76" t="n">
        <x:v>235963.33</x:v>
      </x:c>
      <x:c r="C26" s="76" t="n">
        <x:v>209084.26332187653</x:v>
      </x:c>
      <x:c r="D26" s="76" t="n">
        <x:v>45561.05978679657</x:v>
      </x:c>
      <x:c r="E26" s="90" t="n">
        <x:f>IFERROR((C26-B26)/B26,"")</x:f>
        <x:v>-0.11391205013983936</x:v>
      </x:c>
      <x:c r="F26" s="90" t="n">
        <x:f>IFERROR(D26/B26,"")</x:f>
        <x:v>0.19308533994157726</x:v>
      </x:c>
      <x:c r="G26" s="90" t="n">
        <x:f>MAX(0,1-F26)</x:f>
        <x:v>0.8069146600584227</x:v>
      </x:c>
      <x:c r="H26" s="61" t="str">
        <x:v>Santo Domingo</x:v>
      </x:c>
      <x:c r="I26" s="61" t="str">
        <x:v>Santo Domingo de los Tsachilas</x:v>
      </x:c>
      <x:c r="J26" s="61" t="str">
        <x:v>B</x:v>
      </x:c>
      <x:c r="K26" s="61" t="n">
        <x:v>6</x:v>
      </x:c>
    </x:row>
    <x:row r="27">
      <x:c r="A27" s="61" t="n">
        <x:v>22</x:v>
      </x:c>
      <x:c r="B27" s="76" t="n">
        <x:v>121737.914</x:v>
      </x:c>
      <x:c r="C27" s="76" t="n">
        <x:v>107594.43500709534</x:v>
      </x:c>
      <x:c r="D27" s="76" t="n">
        <x:v>27440.28038406372</x:v>
      </x:c>
      <x:c r="E27" s="90" t="n">
        <x:f>IFERROR((C27-B27)/B27,"")</x:f>
        <x:v>-0.11617973832625937</x:v>
      </x:c>
      <x:c r="F27" s="90" t="n">
        <x:f>IFERROR(D27/B27,"")</x:f>
        <x:v>0.22540455542932764</x:v>
      </x:c>
      <x:c r="G27" s="90" t="n">
        <x:f>MAX(0,1-F27)</x:f>
        <x:v>0.7745954445706724</x:v>
      </x:c>
      <x:c r="H27" s="61" t="str">
        <x:v>Puyo</x:v>
      </x:c>
      <x:c r="I27" s="61" t="str">
        <x:v>Pastaza</x:v>
      </x:c>
      <x:c r="J27" s="61" t="str">
        <x:v>C</x:v>
      </x:c>
      <x:c r="K27" s="61" t="n">
        <x:v>7</x:v>
      </x:c>
    </x:row>
    <x:row r="28">
      <x:c r="A28" s="61" t="n">
        <x:v>23</x:v>
      </x:c>
      <x:c r="B28" s="76" t="n">
        <x:v>120386.484</x:v>
      </x:c>
      <x:c r="C28" s="76" t="n">
        <x:v>127423.60275363922</x:v>
      </x:c>
      <x:c r="D28" s="76" t="n">
        <x:v>18174.981953144073</x:v>
      </x:c>
      <x:c r="E28" s="90" t="n">
        <x:f>IFERROR((C28-B28)/B28,"")</x:f>
        <x:v>0.05845439221930615</x:v>
      </x:c>
      <x:c r="F28" s="90" t="n">
        <x:f>IFERROR(D28/B28,"")</x:f>
        <x:v>0.15097194759126012</x:v>
      </x:c>
      <x:c r="G28" s="90" t="n">
        <x:f>MAX(0,1-F28)</x:f>
        <x:v>0.8490280524087399</x:v>
      </x:c>
      <x:c r="H28" s="61" t="str">
        <x:v>Ambato</x:v>
      </x:c>
      <x:c r="I28" s="61" t="str">
        <x:v>Tungurahua</x:v>
      </x:c>
      <x:c r="J28" s="61" t="str">
        <x:v>D</x:v>
      </x:c>
      <x:c r="K28" s="61" t="n">
        <x:v>9</x:v>
      </x:c>
    </x:row>
    <x:row r="29">
      <x:c r="A29" s="61" t="n">
        <x:v>24</x:v>
      </x:c>
      <x:c r="B29" s="76" t="n">
        <x:v>268779.94</x:v>
      </x:c>
      <x:c r="C29" s="76" t="n">
        <x:v>278863.18710160255</x:v>
      </x:c>
      <x:c r="D29" s="76" t="n">
        <x:v>29172.29895377159</x:v>
      </x:c>
      <x:c r="E29" s="90" t="n">
        <x:f>IFERROR((C29-B29)/B29,"")</x:f>
        <x:v>0.037514879650626276</x:v>
      </x:c>
      <x:c r="F29" s="90" t="n">
        <x:f>IFERROR(D29/B29,"")</x:f>
        <x:v>0.10853599771534882</x:v>
      </x:c>
      <x:c r="G29" s="90" t="n">
        <x:f>MAX(0,1-F29)</x:f>
        <x:v>0.8914640022846512</x:v>
      </x:c>
      <x:c r="H29" s="61" t="str">
        <x:v>Guayaquil</x:v>
      </x:c>
      <x:c r="I29" s="61" t="str">
        <x:v>Guayas</x:v>
      </x:c>
      <x:c r="J29" s="61" t="str">
        <x:v>D</x:v>
      </x:c>
      <x:c r="K29" s="61" t="n">
        <x:v>1</x:v>
      </x:c>
    </x:row>
    <x:row r="30">
      <x:c r="A30" s="61" t="n">
        <x:v>25</x:v>
      </x:c>
      <x:c r="B30" s="76" t="n">
        <x:v>154921.53</x:v>
      </x:c>
      <x:c r="C30" s="76" t="n">
        <x:v>118712.67871618271</x:v>
      </x:c>
      <x:c r="D30" s="76" t="n">
        <x:v>40095.50307512283</x:v>
      </x:c>
      <x:c r="E30" s="90" t="n">
        <x:f>IFERROR((C30-B30)/B30,"")</x:f>
        <x:v>-0.2337238167207443</x:v>
      </x:c>
      <x:c r="F30" s="90" t="n">
        <x:f>IFERROR(D30/B30,"")</x:f>
        <x:v>0.2588116905063023</x:v>
      </x:c>
      <x:c r="G30" s="90" t="n">
        <x:f>MAX(0,1-F30)</x:f>
        <x:v>0.7411883094936977</x:v>
      </x:c>
      <x:c r="H30" s="61" t="str">
        <x:v>Salinas</x:v>
      </x:c>
      <x:c r="I30" s="61" t="str">
        <x:v>Santa Elena</x:v>
      </x:c>
      <x:c r="J30" s="61" t="str">
        <x:v>D</x:v>
      </x:c>
      <x:c r="K30" s="61" t="n">
        <x:v>1</x:v>
      </x:c>
    </x:row>
    <x:row r="31">
      <x:c r="A31" s="61" t="n">
        <x:v>26</x:v>
      </x:c>
      <x:c r="B31" s="76" t="n">
        <x:v>74602.875</x:v>
      </x:c>
      <x:c r="C31" s="76" t="n">
        <x:v>79704.69544529915</x:v>
      </x:c>
      <x:c r="D31" s="76" t="n">
        <x:v>22239.209906816483</x:v>
      </x:c>
      <x:c r="E31" s="90" t="n">
        <x:f>IFERROR((C31-B31)/B31,"")</x:f>
        <x:v>0.06838637847802982</x:v>
      </x:c>
      <x:c r="F31" s="90" t="n">
        <x:f>IFERROR(D31/B31,"")</x:f>
        <x:v>0.2981012448490287</x:v>
      </x:c>
      <x:c r="G31" s="90" t="n">
        <x:f>MAX(0,1-F31)</x:f>
        <x:v>0.7018987551509712</x:v>
      </x:c>
      <x:c r="H31" s="61" t="str">
        <x:v>Guayaquil</x:v>
      </x:c>
      <x:c r="I31" s="61" t="str">
        <x:v>Guayas</x:v>
      </x:c>
      <x:c r="J31" s="61" t="str">
        <x:v>D</x:v>
      </x:c>
      <x:c r="K31" s="61" t="n">
        <x:v>10</x:v>
      </x:c>
    </x:row>
    <x:row r="32">
      <x:c r="A32" s="61" t="n">
        <x:v>27</x:v>
      </x:c>
      <x:c r="B32" s="76" t="n">
        <x:v>236020</x:v>
      </x:c>
      <x:c r="C32" s="76" t="n">
        <x:v>243764.77962195873</x:v>
      </x:c>
      <x:c r="D32" s="76" t="n">
        <x:v>34383.767125725746</x:v>
      </x:c>
      <x:c r="E32" s="90" t="n">
        <x:f>IFERROR((C32-B32)/B32,"")</x:f>
        <x:v>0.0328140819505073</x:v>
      </x:c>
      <x:c r="F32" s="90" t="n">
        <x:f>IFERROR(D32/B32,"")</x:f>
        <x:v>0.14568158260200723</x:v>
      </x:c>
      <x:c r="G32" s="90" t="n">
        <x:f>MAX(0,1-F32)</x:f>
        <x:v>0.8543184173979927</x:v>
      </x:c>
      <x:c r="H32" s="61" t="str">
        <x:v>Daule</x:v>
      </x:c>
      <x:c r="I32" s="61" t="str">
        <x:v>Guayas</x:v>
      </x:c>
      <x:c r="J32" s="61" t="str">
        <x:v>D</x:v>
      </x:c>
      <x:c r="K32" s="61" t="n">
        <x:v>1</x:v>
      </x:c>
    </x:row>
    <x:row r="33">
      <x:c r="A33" s="61" t="n">
        <x:v>28</x:v>
      </x:c>
      <x:c r="B33" s="76" t="n">
        <x:v>260467.97</x:v>
      </x:c>
      <x:c r="C33" s="76" t="n">
        <x:v>233178.86134529114</x:v>
      </x:c>
      <x:c r="D33" s="76" t="n">
        <x:v>55738.47976112366</x:v>
      </x:c>
      <x:c r="E33" s="90" t="n">
        <x:f>IFERROR((C33-B33)/B33,"")</x:f>
        <x:v>-0.10476953713237318</x:v>
      </x:c>
      <x:c r="F33" s="90" t="n">
        <x:f>IFERROR(D33/B33,"")</x:f>
        <x:v>0.213993604515456</x:v>
      </x:c>
      <x:c r="G33" s="90" t="n">
        <x:f>MAX(0,1-F33)</x:f>
        <x:v>0.786006395484544</x:v>
      </x:c>
      <x:c r="H33" s="61" t="str">
        <x:v>Guayaquil</x:v>
      </x:c>
      <x:c r="I33" s="61" t="str">
        <x:v>Guayas</x:v>
      </x:c>
      <x:c r="J33" s="61" t="str">
        <x:v>E</x:v>
      </x:c>
      <x:c r="K33" s="61" t="n">
        <x:v>10</x:v>
      </x:c>
    </x:row>
    <x:row r="34">
      <x:c r="A34" s="61" t="n">
        <x:v>29</x:v>
      </x:c>
      <x:c r="B34" s="76" t="n">
        <x:v>213341.06</x:v>
      </x:c>
      <x:c r="C34" s="76" t="n">
        <x:v>195885.33779144287</x:v>
      </x:c>
      <x:c r="D34" s="76" t="n">
        <x:v>36469.55690193176</x:v>
      </x:c>
      <x:c r="E34" s="90" t="n">
        <x:f>IFERROR((C34-B34)/B34,"")</x:f>
        <x:v>-0.0818207344078872</x:v>
      </x:c>
      <x:c r="F34" s="90" t="n">
        <x:f>IFERROR(D34/B34,"")</x:f>
        <x:v>0.17094485656878128</x:v>
      </x:c>
      <x:c r="G34" s="90" t="n">
        <x:f>MAX(0,1-F34)</x:f>
        <x:v>0.8290551434312188</x:v>
      </x:c>
      <x:c r="H34" s="61" t="str">
        <x:v>Guayaquil</x:v>
      </x:c>
      <x:c r="I34" s="61" t="str">
        <x:v>Guayas</x:v>
      </x:c>
      <x:c r="J34" s="61" t="str">
        <x:v>E</x:v>
      </x:c>
      <x:c r="K34" s="61" t="n">
        <x:v>10</x:v>
      </x:c>
    </x:row>
    <x:row r="35">
      <x:c r="A35" s="61" t="n">
        <x:v>30</x:v>
      </x:c>
      <x:c r="B35" s="76" t="n">
        <x:v>105535.49</x:v>
      </x:c>
      <x:c r="C35" s="76" t="n">
        <x:v>94389.66304779053</x:v>
      </x:c>
      <x:c r="D35" s="76" t="n">
        <x:v>25584.020051956177</x:v>
      </x:c>
      <x:c r="E35" s="90" t="n">
        <x:f>IFERROR((C35-B35)/B35,"")</x:f>
        <x:v>-0.10561212111877699</x:v>
      </x:c>
      <x:c r="F35" s="90" t="n">
        <x:f>IFERROR(D35/B35,"")</x:f>
        <x:v>0.24242100976606235</x:v>
      </x:c>
      <x:c r="G35" s="90" t="n">
        <x:f>MAX(0,1-F35)</x:f>
        <x:v>0.7575789902339376</x:v>
      </x:c>
      <x:c r="H35" s="61" t="str">
        <x:v>Guayaquil</x:v>
      </x:c>
      <x:c r="I35" s="61" t="str">
        <x:v>Guayas</x:v>
      </x:c>
      <x:c r="J35" s="61" t="str">
        <x:v>C</x:v>
      </x:c>
      <x:c r="K35" s="61" t="n">
        <x:v>3</x:v>
      </x:c>
    </x:row>
    <x:row r="36">
      <x:c r="A36" s="61" t="n">
        <x:v>31</x:v>
      </x:c>
      <x:c r="B36" s="76" t="n">
        <x:v>236023.38</x:v>
      </x:c>
      <x:c r="C36" s="76" t="n">
        <x:v>216982.23939466476</x:v>
      </x:c>
      <x:c r="D36" s="76" t="n">
        <x:v>41297.86408948898</x:v>
      </x:c>
      <x:c r="E36" s="90" t="n">
        <x:f>IFERROR((C36-B36)/B36,"")</x:f>
        <x:v>-0.08067480689978782</x:v>
      </x:c>
      <x:c r="F36" s="90" t="n">
        <x:f>IFERROR(D36/B36,"")</x:f>
        <x:v>0.17497361528120214</x:v>
      </x:c>
      <x:c r="G36" s="90" t="n">
        <x:f>MAX(0,1-F36)</x:f>
        <x:v>0.8250263847187979</x:v>
      </x:c>
      <x:c r="H36" s="61" t="str">
        <x:v>Babahoyo</x:v>
      </x:c>
      <x:c r="I36" s="61" t="str">
        <x:v>Los Rios</x:v>
      </x:c>
      <x:c r="J36" s="61" t="str">
        <x:v>B</x:v>
      </x:c>
      <x:c r="K36" s="61" t="n">
        <x:v>10</x:v>
      </x:c>
    </x:row>
    <x:row r="37">
      <x:c r="A37" s="61" t="n">
        <x:v>32</x:v>
      </x:c>
      <x:c r="B37" s="76" t="n">
        <x:v>83639.45</x:v>
      </x:c>
      <x:c r="C37" s="76" t="n">
        <x:v>66114.5606341362</x:v>
      </x:c>
      <x:c r="D37" s="76" t="n">
        <x:v>25391.872362613678</x:v>
      </x:c>
      <x:c r="E37" s="90" t="n">
        <x:f>IFERROR((C37-B37)/B37,"")</x:f>
        <x:v>-0.209528988603629</x:v>
      </x:c>
      <x:c r="F37" s="90" t="n">
        <x:f>IFERROR(D37/B37,"")</x:f>
        <x:v>0.30358727087054826</x:v>
      </x:c>
      <x:c r="G37" s="90" t="n">
        <x:f>MAX(0,1-F37)</x:f>
        <x:v>0.6964127291294517</x:v>
      </x:c>
      <x:c r="H37" s="61" t="str">
        <x:v>Guayaquil</x:v>
      </x:c>
      <x:c r="I37" s="61" t="str">
        <x:v>Guayas</x:v>
      </x:c>
      <x:c r="J37" s="61" t="str">
        <x:v>C</x:v>
      </x:c>
      <x:c r="K37" s="61" t="n">
        <x:v>3</x:v>
      </x:c>
    </x:row>
    <x:row r="38">
      <x:c r="A38" s="61" t="n">
        <x:v>33</x:v>
      </x:c>
      <x:c r="B38" s="76" t="n">
        <x:v>164523.8</x:v>
      </x:c>
      <x:c r="C38" s="76" t="n">
        <x:v>153700.68370723724</x:v>
      </x:c>
      <x:c r="D38" s="76" t="n">
        <x:v>32862.88673877716</x:v>
      </x:c>
      <x:c r="E38" s="90" t="n">
        <x:f>IFERROR((C38-B38)/B38,"")</x:f>
        <x:v>-0.06578450225902116</x:v>
      </x:c>
      <x:c r="F38" s="90" t="n">
        <x:f>IFERROR(D38/B38,"")</x:f>
        <x:v>0.19974548812255224</x:v>
      </x:c>
      <x:c r="G38" s="90" t="n">
        <x:f>MAX(0,1-F38)</x:f>
        <x:v>0.8002545118774478</x:v>
      </x:c>
      <x:c r="H38" s="61" t="str">
        <x:v>Quevedo</x:v>
      </x:c>
      <x:c r="I38" s="61" t="str">
        <x:v>Los Rios</x:v>
      </x:c>
      <x:c r="J38" s="61" t="str">
        <x:v>C</x:v>
      </x:c>
      <x:c r="K38" s="61" t="n">
        <x:v>3</x:v>
      </x:c>
    </x:row>
    <x:row r="39">
      <x:c r="A39" s="61" t="n">
        <x:v>34</x:v>
      </x:c>
      <x:c r="B39" s="76" t="n">
        <x:v>181220.11</x:v>
      </x:c>
      <x:c r="C39" s="76" t="n">
        <x:v>163229.1230494976</x:v>
      </x:c>
      <x:c r="D39" s="76" t="n">
        <x:v>29176.664705991745</x:v>
      </x:c>
      <x:c r="E39" s="90" t="n">
        <x:f>IFERROR((C39-B39)/B39,"")</x:f>
        <x:v>-0.09927698946050956</x:v>
      </x:c>
      <x:c r="F39" s="90" t="n">
        <x:f>IFERROR(D39/B39,"")</x:f>
        <x:v>0.16100125259824502</x:v>
      </x:c>
      <x:c r="G39" s="90" t="n">
        <x:f>MAX(0,1-F39)</x:f>
        <x:v>0.838998747401755</x:v>
      </x:c>
      <x:c r="H39" s="61" t="str">
        <x:v>Guayaquil</x:v>
      </x:c>
      <x:c r="I39" s="61" t="str">
        <x:v>Guayas</x:v>
      </x:c>
      <x:c r="J39" s="61" t="str">
        <x:v>B</x:v>
      </x:c>
      <x:c r="K39" s="61" t="n">
        <x:v>6</x:v>
      </x:c>
    </x:row>
    <x:row r="40">
      <x:c r="A40" s="61" t="n">
        <x:v>35</x:v>
      </x:c>
      <x:c r="B40" s="76" t="n">
        <x:v>91229.164</x:v>
      </x:c>
      <x:c r="C40" s="76" t="n">
        <x:v>81604.08735704422</x:v>
      </x:c>
      <x:c r="D40" s="76" t="n">
        <x:v>19452.56055498123</x:v>
      </x:c>
      <x:c r="E40" s="90" t="n">
        <x:f>IFERROR((C40-B40)/B40,"")</x:f>
        <x:v>-0.10550438281946532</x:v>
      </x:c>
      <x:c r="F40" s="90" t="n">
        <x:f>IFERROR(D40/B40,"")</x:f>
        <x:v>0.21322743410189784</x:v>
      </x:c>
      <x:c r="G40" s="90" t="n">
        <x:f>MAX(0,1-F40)</x:f>
        <x:v>0.7867725658981022</x:v>
      </x:c>
      <x:c r="H40" s="61" t="str">
        <x:v>Playas</x:v>
      </x:c>
      <x:c r="I40" s="61" t="str">
        <x:v>Guayas</x:v>
      </x:c>
      <x:c r="J40" s="61" t="str">
        <x:v>C</x:v>
      </x:c>
      <x:c r="K40" s="61" t="n">
        <x:v>3</x:v>
      </x:c>
    </x:row>
    <x:row r="41">
      <x:c r="A41" s="61" t="n">
        <x:v>36</x:v>
      </x:c>
      <x:c r="B41" s="76" t="n">
        <x:v>213441.47</x:v>
      </x:c>
      <x:c r="C41" s="76" t="n">
        <x:v>175002.83405733109</x:v>
      </x:c>
      <x:c r="D41" s="76" t="n">
        <x:v>46571.17014360428</x:v>
      </x:c>
      <x:c r="E41" s="90" t="n">
        <x:f>IFERROR((C41-B41)/B41,"")</x:f>
        <x:v>-0.18008982013977376</x:v>
      </x:c>
      <x:c r="F41" s="90" t="n">
        <x:f>IFERROR(D41/B41,"")</x:f>
        <x:v>0.21819176069019894</x:v>
      </x:c>
      <x:c r="G41" s="90" t="n">
        <x:f>MAX(0,1-F41)</x:f>
        <x:v>0.781808239309801</x:v>
      </x:c>
      <x:c r="H41" s="61" t="str">
        <x:v>Libertad</x:v>
      </x:c>
      <x:c r="I41" s="61" t="str">
        <x:v>Guayas</x:v>
      </x:c>
      <x:c r="J41" s="61" t="str">
        <x:v>E</x:v>
      </x:c>
      <x:c r="K41" s="61" t="n">
        <x:v>10</x:v>
      </x:c>
    </x:row>
    <x:row r="42">
      <x:c r="A42" s="61" t="n">
        <x:v>37</x:v>
      </x:c>
      <x:c r="B42" s="76" t="n">
        <x:v>196512.9</x:v>
      </x:c>
      <x:c r="C42" s="76" t="n">
        <x:v>221865.60657823086</x:v>
      </x:c>
      <x:c r="D42" s="76" t="n">
        <x:v>38353.208392739296</x:v>
      </x:c>
      <x:c r="E42" s="90" t="n">
        <x:f>IFERROR((C42-B42)/B42,"")</x:f>
        <x:v>0.12901293797115032</x:v>
      </x:c>
      <x:c r="F42" s="90" t="n">
        <x:f>IFERROR(D42/B42,"")</x:f>
        <x:v>0.1951689094850226</x:v>
      </x:c>
      <x:c r="G42" s="90" t="n">
        <x:f>MAX(0,1-F42)</x:f>
        <x:v>0.8048310905149774</x:v>
      </x:c>
      <x:c r="H42" s="61" t="str">
        <x:v>Cuenca</x:v>
      </x:c>
      <x:c r="I42" s="61" t="str">
        <x:v>Azuay</x:v>
      </x:c>
      <x:c r="J42" s="61" t="str">
        <x:v>D</x:v>
      </x:c>
      <x:c r="K42" s="61" t="n">
        <x:v>2</x:v>
      </x:c>
    </x:row>
    <x:row r="43">
      <x:c r="A43" s="61" t="n">
        <x:v>38</x:v>
      </x:c>
      <x:c r="B43" s="76" t="n">
        <x:v>197783.48</x:v>
      </x:c>
      <x:c r="C43" s="76" t="n">
        <x:v>199962.553491354</x:v>
      </x:c>
      <x:c r="D43" s="76" t="n">
        <x:v>49108.01247739792</x:v>
      </x:c>
      <x:c r="E43" s="90" t="n">
        <x:f>IFERROR((C43-B43)/B43,"")</x:f>
        <x:v>0.011017469666091314</x:v>
      </x:c>
      <x:c r="F43" s="90" t="n">
        <x:f>IFERROR(D43/B43,"")</x:f>
        <x:v>0.24829178087774528</x:v>
      </x:c>
      <x:c r="G43" s="90" t="n">
        <x:f>MAX(0,1-F43)</x:f>
        <x:v>0.7517082191222547</x:v>
      </x:c>
      <x:c r="H43" s="61" t="str">
        <x:v>Loja</x:v>
      </x:c>
      <x:c r="I43" s="61" t="str">
        <x:v>Loja</x:v>
      </x:c>
      <x:c r="J43" s="61" t="str">
        <x:v>D</x:v>
      </x:c>
      <x:c r="K43" s="61" t="n">
        <x:v>4</x:v>
      </x:c>
    </x:row>
    <x:row r="44">
      <x:c r="A44" s="61" t="n">
        <x:v>39</x:v>
      </x:c>
      <x:c r="B44" s="76" t="n">
        <x:v>261722.19</x:v>
      </x:c>
      <x:c r="C44" s="76" t="n">
        <x:v>263479.6294476986</x:v>
      </x:c>
      <x:c r="D44" s="76" t="n">
        <x:v>58281.787966012955</x:v>
      </x:c>
      <x:c r="E44" s="90" t="n">
        <x:f>IFERROR((C44-B44)/B44,"")</x:f>
        <x:v>0.00671490425667992</x:v>
      </x:c>
      <x:c r="F44" s="90" t="n">
        <x:f>IFERROR(D44/B44,"")</x:f>
        <x:v>0.22268569572191396</x:v>
      </x:c>
      <x:c r="G44" s="90" t="n">
        <x:f>MAX(0,1-F44)</x:f>
        <x:v>0.777314304278086</x:v>
      </x:c>
      <x:c r="H44" s="61" t="str">
        <x:v>Cuenca</x:v>
      </x:c>
      <x:c r="I44" s="61" t="str">
        <x:v>Azuay</x:v>
      </x:c>
      <x:c r="J44" s="61" t="str">
        <x:v>B</x:v>
      </x:c>
      <x:c r="K44" s="61" t="n">
        <x:v>6</x:v>
      </x:c>
    </x:row>
    <x:row r="45">
      <x:c r="A45" s="61" t="n">
        <x:v>40</x:v>
      </x:c>
      <x:c r="B45" s="76" t="n">
        <x:v>287750.84</x:v>
      </x:c>
      <x:c r="C45" s="76" t="n">
        <x:v>254202.25179290771</x:v>
      </x:c>
      <x:c r="D45" s="76" t="n">
        <x:v>67447.9803237915</x:v>
      </x:c>
      <x:c r="E45" s="90" t="n">
        <x:f>IFERROR((C45-B45)/B45,"")</x:f>
        <x:v>-0.11658901919136816</x:v>
      </x:c>
      <x:c r="F45" s="90" t="n">
        <x:f>IFERROR(D45/B45,"")</x:f>
        <x:v>0.23439716222476187</x:v>
      </x:c>
      <x:c r="G45" s="90" t="n">
        <x:f>MAX(0,1-F45)</x:f>
        <x:v>0.7656028377752382</x:v>
      </x:c>
      <x:c r="H45" s="61" t="str">
        <x:v>Machala</x:v>
      </x:c>
      <x:c r="I45" s="61" t="str">
        <x:v>El Oro</x:v>
      </x:c>
      <x:c r="J45" s="61" t="str">
        <x:v>C</x:v>
      </x:c>
      <x:c r="K45" s="61" t="n">
        <x:v>3</x:v>
      </x:c>
    </x:row>
    <x:row r="46">
      <x:c r="A46" s="61" t="n">
        <x:v>41</x:v>
      </x:c>
      <x:c r="B46" s="76" t="n">
        <x:v>200789.77</x:v>
      </x:c>
      <x:c r="C46" s="76" t="n">
        <x:v>214941.09800863266</x:v>
      </x:c>
      <x:c r="D46" s="76" t="n">
        <x:v>46293.61646747589</x:v>
      </x:c>
      <x:c r="E46" s="90" t="n">
        <x:f>IFERROR((C46-B46)/B46,"")</x:f>
        <x:v>0.07047833168309656</x:v>
      </x:c>
      <x:c r="F46" s="90" t="n">
        <x:f>IFERROR(D46/B46,"")</x:f>
        <x:v>0.23055764478178292</x:v>
      </x:c>
      <x:c r="G46" s="90" t="n">
        <x:f>MAX(0,1-F46)</x:f>
        <x:v>0.769442355218217</x:v>
      </x:c>
      <x:c r="H46" s="61" t="str">
        <x:v>Machala</x:v>
      </x:c>
      <x:c r="I46" s="61" t="str">
        <x:v>El Oro</x:v>
      </x:c>
      <x:c r="J46" s="61" t="str">
        <x:v>D</x:v>
      </x:c>
      <x:c r="K46" s="61" t="n">
        <x:v>4</x:v>
      </x:c>
    </x:row>
    <x:row r="47">
      <x:c r="A47" s="61" t="n">
        <x:v>42</x:v>
      </x:c>
      <x:c r="B47" s="76" t="n">
        <x:v>181667.7</x:v>
      </x:c>
      <x:c r="C47" s="76" t="n">
        <x:v>204817.6540991068</x:v>
      </x:c>
      <x:c r="D47" s="76" t="n">
        <x:v>41376.3639370203</x:v>
      </x:c>
      <x:c r="E47" s="90" t="n">
        <x:f>IFERROR((C47-B47)/B47,"")</x:f>
        <x:v>0.12743021516266664</x:v>
      </x:c>
      <x:c r="F47" s="90" t="n">
        <x:f>IFERROR(D47/B47,"")</x:f>
        <x:v>0.22775850598108688</x:v>
      </x:c>
      <x:c r="G47" s="90" t="n">
        <x:f>MAX(0,1-F47)</x:f>
        <x:v>0.7722414940189131</x:v>
      </x:c>
      <x:c r="H47" s="61" t="str">
        <x:v>Cuenca</x:v>
      </x:c>
      <x:c r="I47" s="61" t="str">
        <x:v>Azuay</x:v>
      </x:c>
      <x:c r="J47" s="61" t="str">
        <x:v>D</x:v>
      </x:c>
      <x:c r="K47" s="61" t="n">
        <x:v>2</x:v>
      </x:c>
    </x:row>
    <x:row r="48">
      <x:c r="A48" s="61" t="n">
        <x:v>43</x:v>
      </x:c>
      <x:c r="B48" s="76" t="n">
        <x:v>264231.62</x:v>
      </x:c>
      <x:c r="C48" s="76" t="n">
        <x:v>251393.16273784637</x:v>
      </x:c>
      <x:c r="D48" s="76" t="n">
        <x:v>38983.43611431122</x:v>
      </x:c>
      <x:c r="E48" s="90" t="n">
        <x:f>IFERROR((C48-B48)/B48,"")</x:f>
        <x:v>-0.048587891419481215</x:v>
      </x:c>
      <x:c r="F48" s="90" t="n">
        <x:f>IFERROR(D48/B48,"")</x:f>
        <x:v>0.1475350910474349</x:v>
      </x:c>
      <x:c r="G48" s="90" t="n">
        <x:f>MAX(0,1-F48)</x:f>
        <x:v>0.8524649089525651</x:v>
      </x:c>
      <x:c r="H48" s="61" t="str">
        <x:v>Esmeraldas</x:v>
      </x:c>
      <x:c r="I48" s="61" t="str">
        <x:v>Esmeraldas</x:v>
      </x:c>
      <x:c r="J48" s="61" t="str">
        <x:v>E</x:v>
      </x:c>
      <x:c r="K48" s="61" t="n">
        <x:v>10</x:v>
      </x:c>
    </x:row>
    <x:row r="49">
      <x:c r="A49" s="61" t="n">
        <x:v>44</x:v>
      </x:c>
      <x:c r="B49" s="76" t="n">
        <x:v>656651.4</x:v>
      </x:c>
      <x:c r="C49" s="76" t="n">
        <x:v>704872.7054424286</x:v>
      </x:c>
      <x:c r="D49" s="76" t="n">
        <x:v>108158.97094726562</x:v>
      </x:c>
      <x:c r="E49" s="90" t="n">
        <x:f>IFERROR((C49-B49)/B49,"")</x:f>
        <x:v>0.07343516733906082</x:v>
      </x:c>
      <x:c r="F49" s="90" t="n">
        <x:f>IFERROR(D49/B49,"")</x:f>
        <x:v>0.16471292217950897</x:v>
      </x:c>
      <x:c r="G49" s="90" t="n">
        <x:f>MAX(0,1-F49)</x:f>
        <x:v>0.835287077820491</x:v>
      </x:c>
      <x:c r="H49" s="61" t="str">
        <x:v>Quito</x:v>
      </x:c>
      <x:c r="I49" s="61" t="str">
        <x:v>Pichincha</x:v>
      </x:c>
      <x:c r="J49" s="61" t="str">
        <x:v>A</x:v>
      </x:c>
      <x:c r="K49" s="61" t="n">
        <x:v>5</x:v>
      </x:c>
    </x:row>
    <x:row r="50">
      <x:c r="A50" s="61" t="n">
        <x:v>45</x:v>
      </x:c>
      <x:c r="B50" s="76" t="n">
        <x:v>631268.5</x:v>
      </x:c>
      <x:c r="C50" s="76" t="n">
        <x:v>634715.0468492508</x:v>
      </x:c>
      <x:c r="D50" s="76" t="n">
        <x:v>87124.25391864777</x:v>
      </x:c>
      <x:c r="E50" s="90" t="n">
        <x:f>IFERROR((C50-B50)/B50,"")</x:f>
        <x:v>0.005459716189308976</x:v>
      </x:c>
      <x:c r="F50" s="90" t="n">
        <x:f>IFERROR(D50/B50,"")</x:f>
        <x:v>0.13801457528555244</x:v>
      </x:c>
      <x:c r="G50" s="90" t="n">
        <x:f>MAX(0,1-F50)</x:f>
        <x:v>0.8619854247144476</x:v>
      </x:c>
      <x:c r="H50" s="61" t="str">
        <x:v>Quito</x:v>
      </x:c>
      <x:c r="I50" s="61" t="str">
        <x:v>Pichincha</x:v>
      </x:c>
      <x:c r="J50" s="61" t="str">
        <x:v>A</x:v>
      </x:c>
      <x:c r="K50" s="61" t="n">
        <x:v>11</x:v>
      </x:c>
    </x:row>
    <x:row r="51">
      <x:c r="A51" s="61" t="n">
        <x:v>46</x:v>
      </x:c>
      <x:c r="B51" s="76" t="n">
        <x:v>456761.6</x:v>
      </x:c>
      <x:c r="C51" s="76" t="n">
        <x:v>464995.68428206444</x:v>
      </x:c>
      <x:c r="D51" s="76" t="n">
        <x:v>82898.31180405617</x:v>
      </x:c>
      <x:c r="E51" s="90" t="n">
        <x:f>IFERROR((C51-B51)/B51,"")</x:f>
        <x:v>0.01802709396338147</x:v>
      </x:c>
      <x:c r="F51" s="90" t="n">
        <x:f>IFERROR(D51/B51,"")</x:f>
        <x:v>0.18149142091641718</x:v>
      </x:c>
      <x:c r="G51" s="90" t="n">
        <x:f>MAX(0,1-F51)</x:f>
        <x:v>0.8185085790835829</x:v>
      </x:c>
      <x:c r="H51" s="61" t="str">
        <x:v>Quito</x:v>
      </x:c>
      <x:c r="I51" s="61" t="str">
        <x:v>Pichincha</x:v>
      </x:c>
      <x:c r="J51" s="61" t="str">
        <x:v>A</x:v>
      </x:c>
      <x:c r="K51" s="61" t="n">
        <x:v>14</x:v>
      </x:c>
    </x:row>
    <x:row r="52">
      <x:c r="A52" s="61" t="n">
        <x:v>47</x:v>
      </x:c>
      <x:c r="B52" s="76" t="n">
        <x:v>581797.2</x:v>
      </x:c>
      <x:c r="C52" s="76" t="n">
        <x:v>588241.6478672028</x:v>
      </x:c>
      <x:c r="D52" s="76" t="n">
        <x:v>93207.16216278076</x:v>
      </x:c>
      <x:c r="E52" s="90" t="n">
        <x:f>IFERROR((C52-B52)/B52,"")</x:f>
        <x:v>0.011076794228646693</x:v>
      </x:c>
      <x:c r="F52" s="90" t="n">
        <x:f>IFERROR(D52/B52,"")</x:f>
        <x:v>0.16020558738127438</x:v>
      </x:c>
      <x:c r="G52" s="90" t="n">
        <x:f>MAX(0,1-F52)</x:f>
        <x:v>0.8397944126187256</x:v>
      </x:c>
      <x:c r="H52" s="61" t="str">
        <x:v>Quito</x:v>
      </x:c>
      <x:c r="I52" s="61" t="str">
        <x:v>Pichincha</x:v>
      </x:c>
      <x:c r="J52" s="61" t="str">
        <x:v>A</x:v>
      </x:c>
      <x:c r="K52" s="61" t="n">
        <x:v>14</x:v>
      </x:c>
    </x:row>
    <x:row r="53">
      <x:c r="A53" s="61" t="n">
        <x:v>48</x:v>
      </x:c>
      <x:c r="B53" s="76" t="n">
        <x:v>403740.97</x:v>
      </x:c>
      <x:c r="C53" s="76" t="n">
        <x:v>386619.82279765606</x:v>
      </x:c>
      <x:c r="D53" s="76" t="n">
        <x:v>81083.54889070988</x:v>
      </x:c>
      <x:c r="E53" s="90" t="n">
        <x:f>IFERROR((C53-B53)/B53,"")</x:f>
        <x:v>-0.04240626657815756</x:v>
      </x:c>
      <x:c r="F53" s="90" t="n">
        <x:f>IFERROR(D53/B53,"")</x:f>
        <x:v>0.20083061892556975</x:v>
      </x:c>
      <x:c r="G53" s="90" t="n">
        <x:f>MAX(0,1-F53)</x:f>
        <x:v>0.7991693810744303</x:v>
      </x:c>
      <x:c r="H53" s="61" t="str">
        <x:v>Quito</x:v>
      </x:c>
      <x:c r="I53" s="61" t="str">
        <x:v>Pichincha</x:v>
      </x:c>
      <x:c r="J53" s="61" t="str">
        <x:v>A</x:v>
      </x:c>
      <x:c r="K53" s="61" t="n">
        <x:v>14</x:v>
      </x:c>
    </x:row>
    <x:row r="54">
      <x:c r="A54" s="61" t="n">
        <x:v>49</x:v>
      </x:c>
      <x:c r="B54" s="76" t="n">
        <x:v>518238.8</x:v>
      </x:c>
      <x:c r="C54" s="76" t="n">
        <x:v>532376.0595884323</x:v>
      </x:c>
      <x:c r="D54" s="76" t="n">
        <x:v>60513.01331996918</x:v>
      </x:c>
      <x:c r="E54" s="90" t="n">
        <x:f>IFERROR((C54-B54)/B54,"")</x:f>
        <x:v>0.027279431004456487</x:v>
      </x:c>
      <x:c r="F54" s="90" t="n">
        <x:f>IFERROR(D54/B54,"")</x:f>
        <x:v>0.11676665915398303</x:v>
      </x:c>
      <x:c r="G54" s="90" t="n">
        <x:f>MAX(0,1-F54)</x:f>
        <x:v>0.883233340846017</x:v>
      </x:c>
      <x:c r="H54" s="61" t="str">
        <x:v>Quito</x:v>
      </x:c>
      <x:c r="I54" s="61" t="str">
        <x:v>Pichincha</x:v>
      </x:c>
      <x:c r="J54" s="61" t="str">
        <x:v>A</x:v>
      </x:c>
      <x:c r="K54" s="61" t="n">
        <x:v>11</x:v>
      </x:c>
    </x:row>
    <x:row r="55">
      <x:c r="A55" s="61" t="n">
        <x:v>50</x:v>
      </x:c>
      <x:c r="B55" s="76" t="n">
        <x:v>326493.25</x:v>
      </x:c>
      <x:c r="C55" s="76" t="n">
        <x:v>340759.76905822754</x:v>
      </x:c>
      <x:c r="D55" s="76" t="n">
        <x:v>57545.35603046417</x:v>
      </x:c>
      <x:c r="E55" s="90" t="n">
        <x:f>IFERROR((C55-B55)/B55,"")</x:f>
        <x:v>0.043696214418606015</x:v>
      </x:c>
      <x:c r="F55" s="90" t="n">
        <x:f>IFERROR(D55/B55,"")</x:f>
        <x:v>0.1762528200214374</x:v>
      </x:c>
      <x:c r="G55" s="90" t="n">
        <x:f>MAX(0,1-F55)</x:f>
        <x:v>0.8237471799785626</x:v>
      </x:c>
      <x:c r="H55" s="61" t="str">
        <x:v>Ambato</x:v>
      </x:c>
      <x:c r="I55" s="61" t="str">
        <x:v>Tungurahua</x:v>
      </x:c>
      <x:c r="J55" s="61" t="str">
        <x:v>A</x:v>
      </x:c>
      <x:c r="K55" s="61" t="n">
        <x:v>14</x:v>
      </x:c>
    </x:row>
    <x:row r="56">
      <x:c r="A56" s="61" t="n">
        <x:v>51</x:v>
      </x:c>
      <x:c r="B56" s="76" t="n">
        <x:v>364628.9</x:v>
      </x:c>
      <x:c r="C56" s="76" t="n">
        <x:v>379723.6325750351</x:v>
      </x:c>
      <x:c r="D56" s="76" t="n">
        <x:v>45354.61927032471</x:v>
      </x:c>
      <x:c r="E56" s="90" t="n">
        <x:f>IFERROR((C56-B56)/B56,"")</x:f>
        <x:v>0.04139752108248981</x:v>
      </x:c>
      <x:c r="F56" s="90" t="n">
        <x:f>IFERROR(D56/B56,"")</x:f>
        <x:v>0.12438569534758409</x:v>
      </x:c>
      <x:c r="G56" s="90" t="n">
        <x:f>MAX(0,1-F56)</x:f>
        <x:v>0.8756143046524159</x:v>
      </x:c>
      <x:c r="H56" s="61" t="str">
        <x:v>Guayaquil</x:v>
      </x:c>
      <x:c r="I56" s="61" t="str">
        <x:v>Guayas</x:v>
      </x:c>
      <x:c r="J56" s="61" t="str">
        <x:v>A</x:v>
      </x:c>
      <x:c r="K56" s="61" t="n">
        <x:v>17</x:v>
      </x:c>
    </x:row>
    <x:row r="57">
      <x:c r="A57" s="61" t="n">
        <x:v>52</x:v>
      </x:c>
      <x:c r="B57" s="76" t="n">
        <x:v>365488.34</x:v>
      </x:c>
      <x:c r="C57" s="76" t="n">
        <x:v>354759.85288745165</x:v>
      </x:c>
      <x:c r="D57" s="76" t="n">
        <x:v>46650.881453216076</x:v>
      </x:c>
      <x:c r="E57" s="90" t="n">
        <x:f>IFERROR((C57-B57)/B57,"")</x:f>
        <x:v>-0.029353842348427247</x:v>
      </x:c>
      <x:c r="F57" s="90" t="n">
        <x:f>IFERROR(D57/B57,"")</x:f>
        <x:v>0.12763986247335846</x:v>
      </x:c>
      <x:c r="G57" s="90" t="n">
        <x:f>MAX(0,1-F57)</x:f>
        <x:v>0.8723601375266415</x:v>
      </x:c>
      <x:c r="H57" s="61" t="str">
        <x:v>Manta</x:v>
      </x:c>
      <x:c r="I57" s="61" t="str">
        <x:v>Manabi</x:v>
      </x:c>
      <x:c r="J57" s="61" t="str">
        <x:v>A</x:v>
      </x:c>
      <x:c r="K57" s="61" t="n">
        <x:v>11</x:v>
      </x:c>
    </x:row>
    <x:row r="58">
      <x:c r="A58" s="61" t="n">
        <x:v>53</x:v>
      </x:c>
      <x:c r="B58" s="76" t="n">
        <x:v>178777.08</x:v>
      </x:c>
      <x:c r="C58" s="76" t="n">
        <x:v>185062.74199056625</x:v>
      </x:c>
      <x:c r="D58" s="76" t="n">
        <x:v>26861.802005290985</x:v>
      </x:c>
      <x:c r="E58" s="90" t="n">
        <x:f>IFERROR((C58-B58)/B58,"")</x:f>
        <x:v>0.03515921610626075</x:v>
      </x:c>
      <x:c r="F58" s="90" t="n">
        <x:f>IFERROR(D58/B58,"")</x:f>
        <x:v>0.15025305260210642</x:v>
      </x:c>
      <x:c r="G58" s="90" t="n">
        <x:f>MAX(0,1-F58)</x:f>
        <x:v>0.8497469473978936</x:v>
      </x:c>
      <x:c r="H58" s="61" t="str">
        <x:v>Manta</x:v>
      </x:c>
      <x:c r="I58" s="61" t="str">
        <x:v>Manabi</x:v>
      </x:c>
      <x:c r="J58" s="61" t="str">
        <x:v>D</x:v>
      </x:c>
      <x:c r="K58" s="61" t="n">
        <x:v>13</x:v>
      </x:c>
    </x:row>
    <x:row r="59">
      <x:c r="A59" s="61" t="n">
        <x:v>54</x:v>
      </x:c>
      <x:c r="B59" s="76" t="n">
        <x:v>176572.48</x:v>
      </x:c>
      <x:c r="C59" s="76" t="n">
        <x:v>155211.08344459534</x:v>
      </x:c>
      <x:c r="D59" s="76" t="n">
        <x:v>42051.85583305359</x:v>
      </x:c>
      <x:c r="E59" s="90" t="n">
        <x:f>IFERROR((C59-B59)/B59,"")</x:f>
        <x:v>-0.12097806269360135</x:v>
      </x:c>
      <x:c r="F59" s="90" t="n">
        <x:f>IFERROR(D59/B59,"")</x:f>
        <x:v>0.23815634142451636</x:v>
      </x:c>
      <x:c r="G59" s="90" t="n">
        <x:f>MAX(0,1-F59)</x:f>
        <x:v>0.7618436585754836</x:v>
      </x:c>
      <x:c r="H59" s="61" t="str">
        <x:v>El Carmen</x:v>
      </x:c>
      <x:c r="I59" s="61" t="str">
        <x:v>Manabi</x:v>
      </x:c>
      <x:c r="J59" s="61" t="str">
        <x:v>C</x:v>
      </x:c>
      <x:c r="K59" s="61" t="n">
        <x:v>3</x:v>
      </x:c>
    </x:row>
  </x:sheetData>
  <x:mergeCells>
    <x:mergeCell ref="A1:K2"/>
    <x:mergeCell ref="A3:K3"/>
  </x:mergeCells>
  <x:conditionalFormatting sqref="F6:F59">
    <x:cfRule type="colorScale" priority="1">
      <x:colorScale>
        <x:cfvo type="min"/>
        <x:cfvo type="percentile" val="50"/>
        <x:cfvo type="max"/>
        <x:color rgb="FFC6E0B4"/>
        <x:color rgb="FFFFF2CC"/>
        <x:color rgb="FFF8CBC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2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0" customHeight="1">
      <x:c r="A1" s="59" t="str">
        <x:v>Continuous Improvement Action Register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 ht="28" customHeight="1">
      <x:c r="A3" s="60" t="str">
        <x:v>Editable owner and status fields turn analytical exceptions into trackable follow-up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61"/>
      <x:c r="B4" s="61"/>
      <x:c r="C4" s="61"/>
      <x:c r="D4" s="61"/>
      <x:c r="E4" s="61"/>
      <x:c r="F4" s="61"/>
      <x:c r="G4" s="61"/>
      <x:c r="H4" s="61"/>
      <x:c r="I4" s="61"/>
      <x:c r="J4" s="61"/>
      <x:c r="K4" s="61"/>
      <x:c r="L4" s="61"/>
    </x:row>
    <x:row r="5">
      <x:c r="A5" s="73" t="str">
        <x:v>Store</x:v>
      </x:c>
      <x:c r="B5" s="74" t="str">
        <x:v>Family</x:v>
      </x:c>
      <x:c r="C5" s="74" t="str">
        <x:v>Actual</x:v>
      </x:c>
      <x:c r="D5" s="74" t="str">
        <x:v>Forecast</x:v>
      </x:c>
      <x:c r="E5" s="74" t="str">
        <x:v>Absolute Error</x:v>
      </x:c>
      <x:c r="F5" s="74" t="str">
        <x:v>Bias</x:v>
      </x:c>
      <x:c r="G5" s="74" t="str">
        <x:v>WAPE</x:v>
      </x:c>
      <x:c r="H5" s="74" t="str">
        <x:v>Priority</x:v>
      </x:c>
      <x:c r="I5" s="74" t="str">
        <x:v>Recommended Action</x:v>
      </x:c>
      <x:c r="J5" s="74" t="str">
        <x:v>Owner</x:v>
      </x:c>
      <x:c r="K5" s="74" t="str">
        <x:v>Status</x:v>
      </x:c>
      <x:c r="L5" s="75" t="str">
        <x:v>Due Date</x:v>
      </x:c>
    </x:row>
    <x:row r="6">
      <x:c r="A6" s="61" t="n">
        <x:v>44</x:v>
      </x:c>
      <x:c r="B6" s="61" t="str">
        <x:v>BEVERAGES</x:v>
      </x:c>
      <x:c r="C6" s="76" t="n">
        <x:v>147313</x:v>
      </x:c>
      <x:c r="D6" s="76" t="n">
        <x:v>169555.125</x:v>
      </x:c>
      <x:c r="E6" s="76" t="n">
        <x:v>31301.125</x:v>
      </x:c>
      <x:c r="F6" s="90" t="n">
        <x:v>0.15098548668481396</x:v>
      </x:c>
      <x:c r="G6" s="90" t="n">
        <x:v>0.21248039887857825</x:v>
      </x:c>
      <x:c r="H6" s="61" t="str">
        <x:v>P2</x:v>
      </x:c>
      <x:c r="I6" s="61" t="str">
        <x:v>Review over-forecast and demand assumptions</x:v>
      </x:c>
      <x:c r="J6" s="61" t="str">
        <x:v>Inventory Planning</x:v>
      </x:c>
      <x:c r="K6" s="61" t="str">
        <x:v>Not Started</x:v>
      </x:c>
      <x:c r="L6" s="91"/>
    </x:row>
    <x:row r="7">
      <x:c r="A7" s="61" t="n">
        <x:v>20</x:v>
      </x:c>
      <x:c r="B7" s="61" t="str">
        <x:v>GROCERY I</x:v>
      </x:c>
      <x:c r="C7" s="76" t="n">
        <x:v>103970.56</x:v>
      </x:c>
      <x:c r="D7" s="76" t="n">
        <x:v>83054.5775756836</x:v>
      </x:c>
      <x:c r="E7" s="76" t="n">
        <x:v>25758.597717285156</x:v>
      </x:c>
      <x:c r="F7" s="90" t="n">
        <x:v>-0.2011721820233146</x:v>
      </x:c>
      <x:c r="G7" s="90" t="n">
        <x:v>0.2477489502596964</x:v>
      </x:c>
      <x:c r="H7" s="61" t="str">
        <x:v>P2</x:v>
      </x:c>
      <x:c r="I7" s="61" t="str">
        <x:v>Review under-forecast and replenishment assumptions</x:v>
      </x:c>
      <x:c r="J7" s="61" t="str">
        <x:v>Inventory Planning</x:v>
      </x:c>
      <x:c r="K7" s="61" t="str">
        <x:v>Not Started</x:v>
      </x:c>
      <x:c r="L7" s="91"/>
    </x:row>
    <x:row r="8">
      <x:c r="A8" s="61" t="n">
        <x:v>48</x:v>
      </x:c>
      <x:c r="B8" s="61" t="str">
        <x:v>GROCERY I</x:v>
      </x:c>
      <x:c r="C8" s="76" t="n">
        <x:v>137940</x:v>
      </x:c>
      <x:c r="D8" s="76" t="n">
        <x:v>129226.75</x:v>
      </x:c>
      <x:c r="E8" s="76" t="n">
        <x:v>25632.5</x:v>
      </x:c>
      <x:c r="F8" s="90" t="n">
        <x:v>-0.06316695664781789</x:v>
      </x:c>
      <x:c r="G8" s="90" t="n">
        <x:v>0.1858235464694795</x:v>
      </x:c>
      <x:c r="H8" s="61" t="str">
        <x:v>P2</x:v>
      </x:c>
      <x:c r="I8" s="61" t="str">
        <x:v>Review under-forecast and replenishment assumptions</x:v>
      </x:c>
      <x:c r="J8" s="61" t="str">
        <x:v>Inventory Planning</x:v>
      </x:c>
      <x:c r="K8" s="61" t="str">
        <x:v>Not Started</x:v>
      </x:c>
      <x:c r="L8" s="91"/>
    </x:row>
    <x:row r="9">
      <x:c r="A9" s="61" t="n">
        <x:v>47</x:v>
      </x:c>
      <x:c r="B9" s="61" t="str">
        <x:v>GROCERY I</x:v>
      </x:c>
      <x:c r="C9" s="76" t="n">
        <x:v>164411</x:v>
      </x:c>
      <x:c r="D9" s="76" t="n">
        <x:v>163750</x:v>
      </x:c>
      <x:c r="E9" s="76" t="n">
        <x:v>25354.25</x:v>
      </x:c>
      <x:c r="F9" s="90" t="n">
        <x:v>-0.004020412259520348</x:v>
      </x:c>
      <x:c r="G9" s="90" t="n">
        <x:v>0.15421261351126142</x:v>
      </x:c>
      <x:c r="H9" s="61" t="str">
        <x:v>P2</x:v>
      </x:c>
      <x:c r="I9" s="61" t="str">
        <x:v>Review under-forecast and replenishment assumptions</x:v>
      </x:c>
      <x:c r="J9" s="61" t="str">
        <x:v>Inventory Planning</x:v>
      </x:c>
      <x:c r="K9" s="61" t="str">
        <x:v>Not Started</x:v>
      </x:c>
      <x:c r="L9" s="91"/>
    </x:row>
    <x:row r="10">
      <x:c r="A10" s="61" t="n">
        <x:v>11</x:v>
      </x:c>
      <x:c r="B10" s="61" t="str">
        <x:v>GROCERY I</x:v>
      </x:c>
      <x:c r="C10" s="76" t="n">
        <x:v>127076.44</x:v>
      </x:c>
      <x:c r="D10" s="76" t="n">
        <x:v>106781.771484375</x:v>
      </x:c>
      <x:c r="E10" s="76" t="n">
        <x:v>24207.827392578125</x:v>
      </x:c>
      <x:c r="F10" s="90" t="n">
        <x:v>-0.159704398509165</x:v>
      </x:c>
      <x:c r="G10" s="90" t="n">
        <x:v>0.19049815897284755</x:v>
      </x:c>
      <x:c r="H10" s="61" t="str">
        <x:v>P2</x:v>
      </x:c>
      <x:c r="I10" s="61" t="str">
        <x:v>Review under-forecast and replenishment assumptions</x:v>
      </x:c>
      <x:c r="J10" s="61" t="str">
        <x:v>Inventory Planning</x:v>
      </x:c>
      <x:c r="K10" s="61" t="str">
        <x:v>Not Started</x:v>
      </x:c>
      <x:c r="L10" s="91"/>
    </x:row>
    <x:row r="11">
      <x:c r="A11" s="61" t="n">
        <x:v>46</x:v>
      </x:c>
      <x:c r="B11" s="61" t="str">
        <x:v>GROCERY I</x:v>
      </x:c>
      <x:c r="C11" s="76" t="n">
        <x:v>151470</x:v>
      </x:c>
      <x:c r="D11" s="76" t="n">
        <x:v>150963.25</x:v>
      </x:c>
      <x:c r="E11" s="76" t="n">
        <x:v>24017.25</x:v>
      </x:c>
      <x:c r="F11" s="90" t="n">
        <x:v>-0.0033455469729979535</x:v>
      </x:c>
      <x:c r="G11" s="90" t="n">
        <x:v>0.15856110120816003</x:v>
      </x:c>
      <x:c r="H11" s="61" t="str">
        <x:v>P2</x:v>
      </x:c>
      <x:c r="I11" s="61" t="str">
        <x:v>Review under-forecast and replenishment assumptions</x:v>
      </x:c>
      <x:c r="J11" s="61" t="str">
        <x:v>Inventory Planning</x:v>
      </x:c>
      <x:c r="K11" s="61" t="str">
        <x:v>Not Started</x:v>
      </x:c>
      <x:c r="L11" s="91"/>
    </x:row>
    <x:row r="12">
      <x:c r="A12" s="61" t="n">
        <x:v>28</x:v>
      </x:c>
      <x:c r="B12" s="61" t="str">
        <x:v>GROCERY I</x:v>
      </x:c>
      <x:c r="C12" s="76" t="n">
        <x:v>92939.88</x:v>
      </x:c>
      <x:c r="D12" s="76" t="n">
        <x:v>71502.37274169922</x:v>
      </x:c>
      <x:c r="E12" s="76" t="n">
        <x:v>23645.51202392578</x:v>
      </x:c>
      <x:c r="F12" s="90" t="n">
        <x:v>-0.23065996450683637</x:v>
      </x:c>
      <x:c r="G12" s="90" t="n">
        <x:v>0.25441727822735716</x:v>
      </x:c>
      <x:c r="H12" s="61" t="str">
        <x:v>P2</x:v>
      </x:c>
      <x:c r="I12" s="61" t="str">
        <x:v>Review under-forecast and replenishment assumptions</x:v>
      </x:c>
      <x:c r="J12" s="61" t="str">
        <x:v>Inventory Planning</x:v>
      </x:c>
      <x:c r="K12" s="61" t="str">
        <x:v>Not Started</x:v>
      </x:c>
      <x:c r="L12" s="91"/>
    </x:row>
    <x:row r="13">
      <x:c r="A13" s="61" t="n">
        <x:v>45</x:v>
      </x:c>
      <x:c r="B13" s="61" t="str">
        <x:v>BEVERAGES</x:v>
      </x:c>
      <x:c r="C13" s="76" t="n">
        <x:v>141064</x:v>
      </x:c>
      <x:c r="D13" s="76" t="n">
        <x:v>154719</x:v>
      </x:c>
      <x:c r="E13" s="76" t="n">
        <x:v>23130</x:v>
      </x:c>
      <x:c r="F13" s="90" t="n">
        <x:v>0.09680003402710827</x:v>
      </x:c>
      <x:c r="G13" s="90" t="n">
        <x:v>0.16396812794192706</x:v>
      </x:c>
      <x:c r="H13" s="61" t="str">
        <x:v>P2</x:v>
      </x:c>
      <x:c r="I13" s="61" t="str">
        <x:v>Review over-forecast and demand assumptions</x:v>
      </x:c>
      <x:c r="J13" s="61" t="str">
        <x:v>Inventory Planning</x:v>
      </x:c>
      <x:c r="K13" s="61" t="str">
        <x:v>Not Started</x:v>
      </x:c>
      <x:c r="L13" s="91"/>
    </x:row>
    <x:row r="14">
      <x:c r="A14" s="61" t="n">
        <x:v>9</x:v>
      </x:c>
      <x:c r="B14" s="61" t="str">
        <x:v>GROCERY I</x:v>
      </x:c>
      <x:c r="C14" s="76" t="n">
        <x:v>114862.28</x:v>
      </x:c>
      <x:c r="D14" s="76" t="n">
        <x:v>97867.22564697266</x:v>
      </x:c>
      <x:c r="E14" s="76" t="n">
        <x:v>22452.201721191406</x:v>
      </x:c>
      <x:c r="F14" s="90" t="n">
        <x:v>-0.14796028268006686</x:v>
      </x:c>
      <x:c r="G14" s="90" t="n">
        <x:v>0.1954706234009383</x:v>
      </x:c>
      <x:c r="H14" s="61" t="str">
        <x:v>P2</x:v>
      </x:c>
      <x:c r="I14" s="61" t="str">
        <x:v>Review under-forecast and replenishment assumptions</x:v>
      </x:c>
      <x:c r="J14" s="61" t="str">
        <x:v>Inventory Planning</x:v>
      </x:c>
      <x:c r="K14" s="61" t="str">
        <x:v>Not Started</x:v>
      </x:c>
      <x:c r="L14" s="91"/>
    </x:row>
    <x:row r="15">
      <x:c r="A15" s="61" t="n">
        <x:v>44</x:v>
      </x:c>
      <x:c r="B15" s="61" t="str">
        <x:v>GROCERY I</x:v>
      </x:c>
      <x:c r="C15" s="76" t="n">
        <x:v>152986</x:v>
      </x:c>
      <x:c r="D15" s="76" t="n">
        <x:v>163161.875</x:v>
      </x:c>
      <x:c r="E15" s="76" t="n">
        <x:v>22132.375</x:v>
      </x:c>
      <x:c r="F15" s="90" t="n">
        <x:v>0.06651507327467873</x:v>
      </x:c>
      <x:c r="G15" s="90" t="n">
        <x:v>0.14466928346384636</x:v>
      </x:c>
      <x:c r="H15" s="61" t="str">
        <x:v>P2</x:v>
      </x:c>
      <x:c r="I15" s="61" t="str">
        <x:v>Review over-forecast and demand assumptions</x:v>
      </x:c>
      <x:c r="J15" s="61" t="str">
        <x:v>Inventory Planning</x:v>
      </x:c>
      <x:c r="K15" s="61" t="str">
        <x:v>Not Started</x:v>
      </x:c>
      <x:c r="L15" s="91"/>
    </x:row>
    <x:row r="16">
      <x:c r="A16" s="61" t="n">
        <x:v>47</x:v>
      </x:c>
      <x:c r="B16" s="61" t="str">
        <x:v>BEVERAGES</x:v>
      </x:c>
      <x:c r="C16" s="76" t="n">
        <x:v>137311</x:v>
      </x:c>
      <x:c r="D16" s="76" t="n">
        <x:v>145046.375</x:v>
      </x:c>
      <x:c r="E16" s="76" t="n">
        <x:v>21894.125</x:v>
      </x:c>
      <x:c r="F16" s="90" t="n">
        <x:v>0.05633470734318445</x:v>
      </x:c>
      <x:c r="G16" s="90" t="n">
        <x:v>0.15944917013203602</x:v>
      </x:c>
      <x:c r="H16" s="61" t="str">
        <x:v>P2</x:v>
      </x:c>
      <x:c r="I16" s="61" t="str">
        <x:v>Review over-forecast and demand assumptions</x:v>
      </x:c>
      <x:c r="J16" s="61" t="str">
        <x:v>Inventory Planning</x:v>
      </x:c>
      <x:c r="K16" s="61" t="str">
        <x:v>Not Started</x:v>
      </x:c>
      <x:c r="L16" s="91"/>
    </x:row>
    <x:row r="17">
      <x:c r="A17" s="61" t="n">
        <x:v>54</x:v>
      </x:c>
      <x:c r="B17" s="61" t="str">
        <x:v>BEVERAGES</x:v>
      </x:c>
      <x:c r="C17" s="76" t="n">
        <x:v>62539</x:v>
      </x:c>
      <x:c r="D17" s="76" t="n">
        <x:v>51671.625</x:v>
      </x:c>
      <x:c r="E17" s="76" t="n">
        <x:v>21866.375</x:v>
      </x:c>
      <x:c r="F17" s="90" t="n">
        <x:v>-0.17376956778969924</x:v>
      </x:c>
      <x:c r="G17" s="90" t="n">
        <x:v>0.3496438222549129</x:v>
      </x:c>
      <x:c r="H17" s="61" t="str">
        <x:v>P2</x:v>
      </x:c>
      <x:c r="I17" s="61" t="str">
        <x:v>Review under-forecast and replenishment assumptions</x:v>
      </x:c>
      <x:c r="J17" s="61" t="str">
        <x:v>Inventory Planning</x:v>
      </x:c>
      <x:c r="K17" s="61" t="str">
        <x:v>Not Started</x:v>
      </x:c>
      <x:c r="L17" s="91"/>
    </x:row>
    <x:row r="18">
      <x:c r="A18" s="61" t="n">
        <x:v>40</x:v>
      </x:c>
      <x:c r="B18" s="61" t="str">
        <x:v>BEVERAGES</x:v>
      </x:c>
      <x:c r="C18" s="76" t="n">
        <x:v>85249</x:v>
      </x:c>
      <x:c r="D18" s="76" t="n">
        <x:v>72876.125</x:v>
      </x:c>
      <x:c r="E18" s="76" t="n">
        <x:v>21575.375</x:v>
      </x:c>
      <x:c r="F18" s="90" t="n">
        <x:v>-0.14513806613567315</x:v>
      </x:c>
      <x:c r="G18" s="90" t="n">
        <x:v>0.2530865464697533</x:v>
      </x:c>
      <x:c r="H18" s="61" t="str">
        <x:v>P2</x:v>
      </x:c>
      <x:c r="I18" s="61" t="str">
        <x:v>Review under-forecast and replenishment assumptions</x:v>
      </x:c>
      <x:c r="J18" s="61" t="str">
        <x:v>Inventory Planning</x:v>
      </x:c>
      <x:c r="K18" s="61" t="str">
        <x:v>Not Started</x:v>
      </x:c>
      <x:c r="L18" s="91"/>
    </x:row>
    <x:row r="19">
      <x:c r="A19" s="61" t="n">
        <x:v>40</x:v>
      </x:c>
      <x:c r="B19" s="61" t="str">
        <x:v>GROCERY I</x:v>
      </x:c>
      <x:c r="C19" s="76" t="n">
        <x:v>102278</x:v>
      </x:c>
      <x:c r="D19" s="76" t="n">
        <x:v>82612.625</x:v>
      </x:c>
      <x:c r="E19" s="76" t="n">
        <x:v>21156.875</x:v>
      </x:c>
      <x:c r="F19" s="90" t="n">
        <x:v>-0.1922737538864663</x:v>
      </x:c>
      <x:c r="G19" s="90" t="n">
        <x:v>0.20685655761747396</x:v>
      </x:c>
      <x:c r="H19" s="61" t="str">
        <x:v>P2</x:v>
      </x:c>
      <x:c r="I19" s="61" t="str">
        <x:v>Review under-forecast and replenishment assumptions</x:v>
      </x:c>
      <x:c r="J19" s="61" t="str">
        <x:v>Inventory Planning</x:v>
      </x:c>
      <x:c r="K19" s="61" t="str">
        <x:v>Not Started</x:v>
      </x:c>
      <x:c r="L19" s="91"/>
    </x:row>
    <x:row r="20">
      <x:c r="A20" s="61" t="n">
        <x:v>38</x:v>
      </x:c>
      <x:c r="B20" s="61" t="str">
        <x:v>BEVERAGES</x:v>
      </x:c>
      <x:c r="C20" s="76" t="n">
        <x:v>42227</x:v>
      </x:c>
      <x:c r="D20" s="76" t="n">
        <x:v>42358.375</x:v>
      </x:c>
      <x:c r="E20" s="76" t="n">
        <x:v>19402.375</x:v>
      </x:c>
      <x:c r="F20" s="90" t="n">
        <x:v>0.0031111611054538565</x:v>
      </x:c>
      <x:c r="G20" s="90" t="n">
        <x:v>0.45947794065408387</x:v>
      </x:c>
      <x:c r="H20" s="61" t="str">
        <x:v>P2</x:v>
      </x:c>
      <x:c r="I20" s="61" t="str">
        <x:v>Review over-forecast and demand assumptions</x:v>
      </x:c>
      <x:c r="J20" s="61" t="str">
        <x:v>Inventory Planning</x:v>
      </x:c>
      <x:c r="K20" s="61" t="str">
        <x:v>Not Started</x:v>
      </x:c>
      <x:c r="L20" s="91"/>
    </x:row>
    <x:row r="21">
      <x:c r="A21" s="61" t="n">
        <x:v>3</x:v>
      </x:c>
      <x:c r="B21" s="61" t="str">
        <x:v>BEVERAGES</x:v>
      </x:c>
      <x:c r="C21" s="76" t="n">
        <x:v>126131</x:v>
      </x:c>
      <x:c r="D21" s="76" t="n">
        <x:v>142006.375</x:v>
      </x:c>
      <x:c r="E21" s="76" t="n">
        <x:v>19192.375</x:v>
      </x:c>
      <x:c r="F21" s="90" t="n">
        <x:v>0.12586418089129556</x:v>
      </x:c>
      <x:c r="G21" s="90" t="n">
        <x:v>0.15216223608787688</x:v>
      </x:c>
      <x:c r="H21" s="61" t="str">
        <x:v>P2</x:v>
      </x:c>
      <x:c r="I21" s="61" t="str">
        <x:v>Review over-forecast and demand assumptions</x:v>
      </x:c>
      <x:c r="J21" s="61" t="str">
        <x:v>Inventory Planning</x:v>
      </x:c>
      <x:c r="K21" s="61" t="str">
        <x:v>Not Started</x:v>
      </x:c>
      <x:c r="L21" s="91"/>
    </x:row>
    <x:row r="22">
      <x:c r="A22" s="61" t="n">
        <x:v>36</x:v>
      </x:c>
      <x:c r="B22" s="61" t="str">
        <x:v>BEVERAGES</x:v>
      </x:c>
      <x:c r="C22" s="76" t="n">
        <x:v>64111</x:v>
      </x:c>
      <x:c r="D22" s="76" t="n">
        <x:v>45006.75</x:v>
      </x:c>
      <x:c r="E22" s="76" t="n">
        <x:v>19188.25</x:v>
      </x:c>
      <x:c r="F22" s="90" t="n">
        <x:v>-0.2979870848996272</x:v>
      </x:c>
      <x:c r="G22" s="90" t="n">
        <x:v>0.29929731247367847</x:v>
      </x:c>
      <x:c r="H22" s="61" t="str">
        <x:v>P2</x:v>
      </x:c>
      <x:c r="I22" s="61" t="str">
        <x:v>Review under-forecast and replenishment assumptions</x:v>
      </x:c>
      <x:c r="J22" s="61" t="str">
        <x:v>Inventory Planning</x:v>
      </x:c>
      <x:c r="K22" s="61" t="str">
        <x:v>Not Started</x:v>
      </x:c>
      <x:c r="L22" s="91"/>
    </x:row>
    <x:row r="23">
      <x:c r="A23" s="61" t="n">
        <x:v>46</x:v>
      </x:c>
      <x:c r="B23" s="61" t="str">
        <x:v>BEVERAGES</x:v>
      </x:c>
      <x:c r="C23" s="76" t="n">
        <x:v>93164</x:v>
      </x:c>
      <x:c r="D23" s="76" t="n">
        <x:v>104735.5</x:v>
      </x:c>
      <x:c r="E23" s="76" t="n">
        <x:v>18484.5</x:v>
      </x:c>
      <x:c r="F23" s="90" t="n">
        <x:v>0.12420570177321712</x:v>
      </x:c>
      <x:c r="G23" s="90" t="n">
        <x:v>0.19840818341848782</x:v>
      </x:c>
      <x:c r="H23" s="61" t="str">
        <x:v>P2</x:v>
      </x:c>
      <x:c r="I23" s="61" t="str">
        <x:v>Review over-forecast and demand assumptions</x:v>
      </x:c>
      <x:c r="J23" s="61" t="str">
        <x:v>Inventory Planning</x:v>
      </x:c>
      <x:c r="K23" s="61" t="str">
        <x:v>Not Started</x:v>
      </x:c>
      <x:c r="L23" s="91"/>
    </x:row>
    <x:row r="24">
      <x:c r="A24" s="61" t="n">
        <x:v>45</x:v>
      </x:c>
      <x:c r="B24" s="61" t="str">
        <x:v>GROCERY I</x:v>
      </x:c>
      <x:c r="C24" s="76" t="n">
        <x:v>176225</x:v>
      </x:c>
      <x:c r="D24" s="76" t="n">
        <x:v>176095.625</x:v>
      </x:c>
      <x:c r="E24" s="76" t="n">
        <x:v>18216.625</x:v>
      </x:c>
      <x:c r="F24" s="90" t="n">
        <x:v>-0.0007341466874734004</x:v>
      </x:c>
      <x:c r="G24" s="90" t="n">
        <x:v>0.10337140019860973</x:v>
      </x:c>
      <x:c r="H24" s="61" t="str">
        <x:v>P2</x:v>
      </x:c>
      <x:c r="I24" s="61" t="str">
        <x:v>Review under-forecast and replenishment assumptions</x:v>
      </x:c>
      <x:c r="J24" s="61" t="str">
        <x:v>Inventory Planning</x:v>
      </x:c>
      <x:c r="K24" s="61" t="str">
        <x:v>Not Started</x:v>
      </x:c>
      <x:c r="L24" s="91"/>
    </x:row>
    <x:row r="25">
      <x:c r="A25" s="61" t="n">
        <x:v>20</x:v>
      </x:c>
      <x:c r="B25" s="61" t="str">
        <x:v>BEVERAGES</x:v>
      </x:c>
      <x:c r="C25" s="76" t="n">
        <x:v>71261</x:v>
      </x:c>
      <x:c r="D25" s="76" t="n">
        <x:v>54324.5</x:v>
      </x:c>
      <x:c r="E25" s="76" t="n">
        <x:v>16936.5</x:v>
      </x:c>
      <x:c r="F25" s="90" t="n">
        <x:v>-0.23766857046631398</x:v>
      </x:c>
      <x:c r="G25" s="90" t="n">
        <x:v>0.23766857046631398</x:v>
      </x:c>
      <x:c r="H25" s="61" t="str">
        <x:v>P2</x:v>
      </x:c>
      <x:c r="I25" s="61" t="str">
        <x:v>Review under-forecast and replenishment assumptions</x:v>
      </x:c>
      <x:c r="J25" s="61" t="str">
        <x:v>Inventory Planning</x:v>
      </x:c>
      <x:c r="K25" s="61" t="str">
        <x:v>Not Started</x:v>
      </x:c>
      <x:c r="L25" s="91"/>
    </x:row>
    <x:row r="26">
      <x:c r="A26" s="61" t="n">
        <x:v>41</x:v>
      </x:c>
      <x:c r="B26" s="61" t="str">
        <x:v>BEVERAGES</x:v>
      </x:c>
      <x:c r="C26" s="76" t="n">
        <x:v>37439</x:v>
      </x:c>
      <x:c r="D26" s="76" t="n">
        <x:v>46014.25</x:v>
      </x:c>
      <x:c r="E26" s="76" t="n">
        <x:v>15659.25</x:v>
      </x:c>
      <x:c r="F26" s="90" t="n">
        <x:v>0.22904591468789232</x:v>
      </x:c>
      <x:c r="G26" s="90" t="n">
        <x:v>0.4182603702021956</x:v>
      </x:c>
      <x:c r="H26" s="61" t="str">
        <x:v>P2</x:v>
      </x:c>
      <x:c r="I26" s="61" t="str">
        <x:v>Review over-forecast and demand assumptions</x:v>
      </x:c>
      <x:c r="J26" s="61" t="str">
        <x:v>Inventory Planning</x:v>
      </x:c>
      <x:c r="K26" s="61" t="str">
        <x:v>Not Started</x:v>
      </x:c>
      <x:c r="L26" s="91"/>
    </x:row>
    <x:row r="27">
      <x:c r="A27" s="61" t="n">
        <x:v>42</x:v>
      </x:c>
      <x:c r="B27" s="61" t="str">
        <x:v>BEVERAGES</x:v>
      </x:c>
      <x:c r="C27" s="76" t="n">
        <x:v>39477</x:v>
      </x:c>
      <x:c r="D27" s="76" t="n">
        <x:v>48441.75</x:v>
      </x:c>
      <x:c r="E27" s="76" t="n">
        <x:v>15350.75</x:v>
      </x:c>
      <x:c r="F27" s="90" t="n">
        <x:v>0.2270879246143324</x:v>
      </x:c>
      <x:c r="G27" s="90" t="n">
        <x:v>0.38885300301441345</x:v>
      </x:c>
      <x:c r="H27" s="61" t="str">
        <x:v>P2</x:v>
      </x:c>
      <x:c r="I27" s="61" t="str">
        <x:v>Review over-forecast and demand assumptions</x:v>
      </x:c>
      <x:c r="J27" s="61" t="str">
        <x:v>Inventory Planning</x:v>
      </x:c>
      <x:c r="K27" s="61" t="str">
        <x:v>Not Started</x:v>
      </x:c>
      <x:c r="L27" s="91"/>
    </x:row>
    <x:row r="28">
      <x:c r="A28" s="61" t="n">
        <x:v>49</x:v>
      </x:c>
      <x:c r="B28" s="61" t="str">
        <x:v>BEVERAGES</x:v>
      </x:c>
      <x:c r="C28" s="76" t="n">
        <x:v>105172</x:v>
      </x:c>
      <x:c r="D28" s="76" t="n">
        <x:v>114950.375</x:v>
      </x:c>
      <x:c r="E28" s="76" t="n">
        <x:v>14678.375</x:v>
      </x:c>
      <x:c r="F28" s="90" t="n">
        <x:v>0.09297507891834328</x:v>
      </x:c>
      <x:c r="G28" s="90" t="n">
        <x:v>0.13956542615905373</x:v>
      </x:c>
      <x:c r="H28" s="61" t="str">
        <x:v>P2</x:v>
      </x:c>
      <x:c r="I28" s="61" t="str">
        <x:v>Review over-forecast and demand assumptions</x:v>
      </x:c>
      <x:c r="J28" s="61" t="str">
        <x:v>Inventory Planning</x:v>
      </x:c>
      <x:c r="K28" s="61" t="str">
        <x:v>Not Started</x:v>
      </x:c>
      <x:c r="L28" s="91"/>
    </x:row>
    <x:row r="29">
      <x:c r="A29" s="61" t="n">
        <x:v>39</x:v>
      </x:c>
      <x:c r="B29" s="61" t="str">
        <x:v>CLEANING</x:v>
      </x:c>
      <x:c r="C29" s="76" t="n">
        <x:v>34078</x:v>
      </x:c>
      <x:c r="D29" s="76" t="n">
        <x:v>24216.75</x:v>
      </x:c>
      <x:c r="E29" s="76" t="n">
        <x:v>14598.25</x:v>
      </x:c>
      <x:c r="F29" s="90" t="n">
        <x:v>-0.28937290920828684</x:v>
      </x:c>
      <x:c r="G29" s="90" t="n">
        <x:v>0.42837754563061214</x:v>
      </x:c>
      <x:c r="H29" s="61" t="str">
        <x:v>P2</x:v>
      </x:c>
      <x:c r="I29" s="61" t="str">
        <x:v>Review under-forecast and replenishment assumptions</x:v>
      </x:c>
      <x:c r="J29" s="61" t="str">
        <x:v>Inventory Planning</x:v>
      </x:c>
      <x:c r="K29" s="61" t="str">
        <x:v>Not Started</x:v>
      </x:c>
      <x:c r="L29" s="91"/>
    </x:row>
    <x:row r="30">
      <x:c r="A30" s="61" t="n">
        <x:v>39</x:v>
      </x:c>
      <x:c r="B30" s="61" t="str">
        <x:v>GROCERY I</x:v>
      </x:c>
      <x:c r="C30" s="76" t="n">
        <x:v>88215.555</x:v>
      </x:c>
      <x:c r="D30" s="76" t="n">
        <x:v>80976.71765136719</x:v>
      </x:c>
      <x:c r="E30" s="76" t="n">
        <x:v>14513.911010742188</x:v>
      </x:c>
      <x:c r="F30" s="90" t="n">
        <x:v>-0.08205851067621914</x:v>
      </x:c>
      <x:c r="G30" s="90" t="n">
        <x:v>0.16452779855159472</x:v>
      </x:c>
      <x:c r="H30" s="61" t="str">
        <x:v>P2</x:v>
      </x:c>
      <x:c r="I30" s="61" t="str">
        <x:v>Review under-forecast and replenishment assumptions</x:v>
      </x:c>
      <x:c r="J30" s="61" t="str">
        <x:v>Inventory Planning</x:v>
      </x:c>
      <x:c r="K30" s="61" t="str">
        <x:v>Not Started</x:v>
      </x:c>
      <x:c r="L30" s="91"/>
    </x:row>
  </x:sheetData>
  <x:mergeCells>
    <x:mergeCell ref="A1:L2"/>
    <x:mergeCell ref="A3:L3"/>
  </x:mergeCells>
  <x:conditionalFormatting sqref="H6:H30">
    <x:cfRule type="containsText" dxfId="2" priority="1" operator="containsText" text="P1"/>
  </x:conditionalFormatting>
  <x:conditionalFormatting sqref="K6:K30">
    <x:cfRule type="containsText" dxfId="3" priority="2" operator="containsText" text="Done"/>
  </x:conditionalFormatting>
  <x:dataValidations count="3">
    <x:dataValidation type="list" sqref="H6:H30">
      <x:formula1>"P1,P2,P3"</x:formula1>
    </x:dataValidation>
    <x:dataValidation type="list" sqref="J6:J30">
      <x:formula1>"Inventory Planning,Store Operations,Commercial,Data/IT"</x:formula1>
    </x:dataValidation>
    <x:dataValidation type="list" sqref="K6:K30">
      <x:formula1>"Not Started,In Progress,Blocked,Done"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</x:cols>
  <x:sheetData>
    <x:row r="1" ht="30" customHeight="1">
      <x:c r="A1" s="59" t="str">
        <x:v>Model Validation Summary</x:v>
      </x:c>
      <x:c r="B1" s="59"/>
      <x:c r="C1" s="59"/>
      <x:c r="D1" s="59"/>
    </x:row>
    <x:row r="2">
      <x:c r="A2" s="59"/>
      <x:c r="B2" s="59"/>
      <x:c r="C2" s="59"/>
      <x:c r="D2" s="59"/>
    </x:row>
    <x:row r="3" ht="28" customHeight="1">
      <x:c r="A3" s="60" t="str">
        <x:v>Baseline is a leakage-safe recursive median of weekly lags; compare future models against this benchmark</x:v>
      </x:c>
      <x:c r="B3" s="60"/>
      <x:c r="C3" s="60"/>
      <x:c r="D3" s="60"/>
    </x:row>
    <x:row r="4">
      <x:c r="A4" s="61"/>
      <x:c r="B4" s="61"/>
      <x:c r="C4" s="61"/>
      <x:c r="D4" s="61"/>
    </x:row>
    <x:row r="5">
      <x:c r="A5" s="73" t="str">
        <x:v>Metric</x:v>
      </x:c>
      <x:c r="B5" s="75" t="str">
        <x:v>Value</x:v>
      </x:c>
      <x:c r="C5" s="61"/>
      <x:c r="D5" s="61"/>
    </x:row>
    <x:row r="6">
      <x:c r="A6" s="61" t="str">
        <x:v>Validation RMSLE</x:v>
      </x:c>
      <x:c r="B6" s="92" t="n">
        <x:v>0.5510361765498359</x:v>
      </x:c>
      <x:c r="C6" s="61"/>
      <x:c r="D6" s="61"/>
    </x:row>
    <x:row r="7">
      <x:c r="A7" s="61" t="str">
        <x:v>Forecast Bias</x:v>
      </x:c>
      <x:c r="B7" s="90" t="n">
        <x:v>-0.015034705294357855</x:v>
      </x:c>
      <x:c r="C7" s="61"/>
      <x:c r="D7" s="61"/>
    </x:row>
    <x:row r="8">
      <x:c r="A8" s="61" t="str">
        <x:v>WAPE</x:v>
      </x:c>
      <x:c r="B8" s="90" t="n">
        <x:v>0.17180147978671548</x:v>
      </x:c>
      <x:c r="C8" s="61"/>
      <x:c r="D8" s="61"/>
    </x:row>
    <x:row r="9">
      <x:c r="A9" s="61" t="str">
        <x:v>Forecast Accuracy</x:v>
      </x:c>
      <x:c r="B9" s="90" t="n">
        <x:v>0.8281985202132846</x:v>
      </x:c>
      <x:c r="C9" s="61"/>
      <x:c r="D9" s="61"/>
    </x:row>
    <x:row r="10">
      <x:c r="A10" s="61" t="str">
        <x:v>Validation Rows</x:v>
      </x:c>
      <x:c r="B10" s="76" t="n">
        <x:v>28512</x:v>
      </x:c>
      <x:c r="C10" s="61"/>
      <x:c r="D10" s="61"/>
    </x:row>
    <x:row r="11">
      <x:c r="A11" s="61" t="str">
        <x:v>Horizon Days</x:v>
      </x:c>
      <x:c r="B11" s="76" t="n">
        <x:v>16</x:v>
      </x:c>
      <x:c r="C11" s="61"/>
      <x:c r="D11" s="61"/>
    </x:row>
    <x:row r="12">
      <x:c r="A12" s="61" t="str">
        <x:v>Submission Rows</x:v>
      </x:c>
      <x:c r="B12" s="76" t="n">
        <x:v>28512</x:v>
      </x:c>
      <x:c r="C12" s="61"/>
      <x:c r="D12" s="61"/>
    </x:row>
    <x:row r="13">
      <x:c r="A13" s="61" t="str">
        <x:v>Invalid Submission Predictions</x:v>
      </x:c>
      <x:c r="B13" s="76" t="n">
        <x:v>0</x:v>
      </x:c>
      <x:c r="C13" s="61"/>
      <x:c r="D13" s="61"/>
    </x:row>
  </x:sheetData>
  <x:mergeCells>
    <x:mergeCell ref="A1:D2"/>
    <x:mergeCell ref="A3:D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8" hidden="0" customWidth="1"/>
    <x:col min="4" max="4" width="34" hidden="0" customWidth="1"/>
  </x:cols>
  <x:sheetData>
    <x:row r="1" ht="30" customHeight="1">
      <x:c r="A1" s="59" t="str">
        <x:v>Data &amp; KPI Dictionary</x:v>
      </x:c>
      <x:c r="B1" s="59"/>
      <x:c r="C1" s="59"/>
      <x:c r="D1" s="59"/>
    </x:row>
    <x:row r="2">
      <x:c r="A2" s="59"/>
      <x:c r="B2" s="59"/>
      <x:c r="C2" s="59"/>
      <x:c r="D2" s="59"/>
    </x:row>
    <x:row r="3" ht="28" customHeight="1">
      <x:c r="A3" s="60" t="str">
        <x:v>Definitions, grain, and interpretation guardrails</x:v>
      </x:c>
      <x:c r="B3" s="60"/>
      <x:c r="C3" s="60"/>
      <x:c r="D3" s="60"/>
    </x:row>
    <x:row r="4">
      <x:c r="A4" s="61"/>
      <x:c r="B4" s="61"/>
      <x:c r="C4" s="61"/>
      <x:c r="D4" s="61"/>
    </x:row>
    <x:row r="5">
      <x:c r="A5" s="73" t="str">
        <x:v>Field / KPI</x:v>
      </x:c>
      <x:c r="B5" s="74" t="str">
        <x:v>Definition</x:v>
      </x:c>
      <x:c r="C5" s="74" t="str">
        <x:v>Primary grain</x:v>
      </x:c>
      <x:c r="D5" s="75" t="str">
        <x:v>Interpretation</x:v>
      </x:c>
    </x:row>
    <x:row r="6">
      <x:c r="A6" s="93" t="str">
        <x:v>sales</x:v>
      </x:c>
      <x:c r="B6" s="93" t="str">
        <x:v>Total unit sales; fractional values are valid</x:v>
      </x:c>
      <x:c r="C6" s="93" t="str">
        <x:v>Date × store × family</x:v>
      </x:c>
      <x:c r="D6" s="93" t="str">
        <x:v>Competition target</x:v>
      </x:c>
    </x:row>
    <x:row r="7">
      <x:c r="A7" s="93" t="str">
        <x:v>onpromotion</x:v>
      </x:c>
      <x:c r="B7" s="93" t="str">
        <x:v>Count of promoted products in a family</x:v>
      </x:c>
      <x:c r="C7" s="93" t="str">
        <x:v>Date × store × family</x:v>
      </x:c>
      <x:c r="D7" s="93" t="str">
        <x:v>Exposure, not a causal treatment</x:v>
      </x:c>
    </x:row>
    <x:row r="8">
      <x:c r="A8" s="93" t="str">
        <x:v>transactions</x:v>
      </x:c>
      <x:c r="B8" s="93" t="str">
        <x:v>Number of store transactions</x:v>
      </x:c>
      <x:c r="C8" s="93" t="str">
        <x:v>Date × store</x:v>
      </x:c>
      <x:c r="D8" s="93" t="str">
        <x:v>Traffic indicator</x:v>
      </x:c>
    </x:row>
    <x:row r="9">
      <x:c r="A9" s="93" t="str">
        <x:v>oil_price_wti</x:v>
      </x:c>
      <x:c r="B9" s="93" t="str">
        <x:v>WTI oil price with time-ordered fill and a missing-value flag</x:v>
      </x:c>
      <x:c r="C9" s="93" t="str">
        <x:v>Date</x:v>
      </x:c>
      <x:c r="D9" s="93" t="str">
        <x:v>External national signal</x:v>
      </x:c>
    </x:row>
    <x:row r="10">
      <x:c r="A10" s="93" t="str">
        <x:v>is_holiday</x:v>
      </x:c>
      <x:c r="B10" s="93" t="str">
        <x:v>Locale-aware national, regional, or local holiday flag</x:v>
      </x:c>
      <x:c r="C10" s="93" t="str">
        <x:v>Date × store</x:v>
      </x:c>
      <x:c r="D10" s="93" t="str">
        <x:v>Descriptive calendar signal</x:v>
      </x:c>
    </x:row>
    <x:row r="11">
      <x:c r="A11" s="93" t="str">
        <x:v>Unit Sales</x:v>
      </x:c>
      <x:c r="B11" s="93" t="str">
        <x:v>SUM(sales)</x:v>
      </x:c>
      <x:c r="C11" s="93" t="str">
        <x:v>Period/store/family</x:v>
      </x:c>
      <x:c r="D11" s="93" t="str">
        <x:v>Demand volume</x:v>
      </x:c>
    </x:row>
    <x:row r="12">
      <x:c r="A12" s="93" t="str">
        <x:v>YoY Growth</x:v>
      </x:c>
      <x:c r="B12" s="93" t="str">
        <x:v>Current aligned-period sales / prior aligned-period sales - 1</x:v>
      </x:c>
      <x:c r="C12" s="93" t="str">
        <x:v>Store or period</x:v>
      </x:c>
      <x:c r="D12" s="93" t="str">
        <x:v>Like-for-like only</x:v>
      </x:c>
    </x:row>
    <x:row r="13">
      <x:c r="A13" s="93" t="str">
        <x:v>RMSLE</x:v>
      </x:c>
      <x:c r="B13" s="93" t="str">
        <x:v>RMSE of log1p forecast and actual</x:v>
      </x:c>
      <x:c r="C13" s="93" t="str">
        <x:v>Validation set</x:v>
      </x:c>
      <x:c r="D13" s="93" t="str">
        <x:v>Official Kaggle metric</x:v>
      </x:c>
    </x:row>
    <x:row r="14">
      <x:c r="A14" s="93" t="str">
        <x:v>Forecast Bias</x:v>
      </x:c>
      <x:c r="B14" s="93" t="str">
        <x:v>SUM(forecast-actual) / SUM(actual)</x:v>
      </x:c>
      <x:c r="C14" s="93" t="str">
        <x:v>Segment</x:v>
      </x:c>
      <x:c r="D14" s="93" t="str">
        <x:v>Negative means under-forecast</x:v>
      </x:c>
    </x:row>
    <x:row r="15">
      <x:c r="A15" s="93" t="str">
        <x:v>WAPE</x:v>
      </x:c>
      <x:c r="B15" s="93" t="str">
        <x:v>SUM(abs error) / SUM(actual)</x:v>
      </x:c>
      <x:c r="C15" s="93" t="str">
        <x:v>Segment</x:v>
      </x:c>
      <x:c r="D15" s="93" t="str">
        <x:v>Operational error magnitude</x:v>
      </x:c>
    </x:row>
    <x:row r="16">
      <x:c r="A16" s="93" t="str">
        <x:v>Forecast Accuracy</x:v>
      </x:c>
      <x:c r="B16" s="93" t="str">
        <x:v>MAX(0, 1-WAPE)</x:v>
      </x:c>
      <x:c r="C16" s="93" t="str">
        <x:v>Segment</x:v>
      </x:c>
      <x:c r="D16" s="93" t="str">
        <x:v>Management-friendly complement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52" hidden="0" customWidth="1"/>
  </x:cols>
  <x:sheetData>
    <x:row r="1" ht="30" customHeight="1">
      <x:c r="A1" s="59" t="str">
        <x:v>Demand Driver Diagnostics</x:v>
      </x:c>
      <x:c r="B1" s="59"/>
      <x:c r="C1" s="59"/>
      <x:c r="D1" s="59"/>
    </x:row>
    <x:row r="2">
      <x:c r="A2" s="59"/>
      <x:c r="B2" s="59"/>
      <x:c r="C2" s="59"/>
      <x:c r="D2" s="59"/>
    </x:row>
    <x:row r="3" ht="28" customHeight="1">
      <x:c r="A3" s="60" t="str">
        <x:v>Descriptive relationships only; these results do not establish causal effects</x:v>
      </x:c>
      <x:c r="B3" s="60"/>
      <x:c r="C3" s="60"/>
      <x:c r="D3" s="60"/>
    </x:row>
    <x:row r="4">
      <x:c r="A4" s="61"/>
      <x:c r="B4" s="61"/>
      <x:c r="C4" s="61"/>
      <x:c r="D4" s="61"/>
    </x:row>
    <x:row r="5">
      <x:c r="A5" s="73" t="str">
        <x:v>relationship</x:v>
      </x:c>
      <x:c r="B5" s="74" t="str">
        <x:v>measure</x:v>
      </x:c>
      <x:c r="C5" s="74" t="str">
        <x:v>value</x:v>
      </x:c>
      <x:c r="D5" s="75" t="str">
        <x:v>interpretation</x:v>
      </x:c>
    </x:row>
    <x:row r="6">
      <x:c r="A6" s="93" t="str">
        <x:v>Promotion units vs unit sales</x:v>
      </x:c>
      <x:c r="B6" s="93" t="str">
        <x:v>Pearson correlation</x:v>
      </x:c>
      <x:c r="C6" s="94" t="n">
        <x:v>0.3588485237478981</x:v>
      </x:c>
      <x:c r="D6" s="93" t="str">
        <x:v>Descriptive association; not a causal promotion effect</x:v>
      </x:c>
    </x:row>
    <x:row r="7">
      <x:c r="A7" s="93" t="str">
        <x:v>Transactions vs unit sales</x:v>
      </x:c>
      <x:c r="B7" s="93" t="str">
        <x:v>Pearson correlation</x:v>
      </x:c>
      <x:c r="C7" s="94" t="n">
        <x:v>0.8373836801236636</x:v>
      </x:c>
      <x:c r="D7" s="93" t="str">
        <x:v>Descriptive traffic relationship</x:v>
      </x:c>
    </x:row>
    <x:row r="8">
      <x:c r="A8" s="93" t="str">
        <x:v>WTI oil price vs unit sales</x:v>
      </x:c>
      <x:c r="B8" s="93" t="str">
        <x:v>Pearson correlation</x:v>
      </x:c>
      <x:c r="C8" s="94" t="n">
        <x:v>-0.29955673660271115</x:v>
      </x:c>
      <x:c r="D8" s="93" t="str">
        <x:v>National time-series association; confounding is expected</x:v>
      </x:c>
    </x:row>
    <x:row r="9">
      <x:c r="A9" s="93" t="str">
        <x:v>Holiday vs non-holiday unit sales</x:v>
      </x:c>
      <x:c r="B9" s="93" t="str">
        <x:v>Mean difference ratio</x:v>
      </x:c>
      <x:c r="C9" s="94" t="n">
        <x:v>0.1909114122390747</x:v>
      </x:c>
      <x:c r="D9" s="93" t="str">
        <x:v>Unadjusted descriptive lift; not a causal estimate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d51b0b1c98c6467e"/>
  </x:tableParts>
</x:worksheet>
</file>